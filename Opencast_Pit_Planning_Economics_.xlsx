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E885F33-F925-4DBA-B051-80C8A16CA00E}" xr6:coauthVersionLast="47" xr6:coauthVersionMax="47" xr10:uidLastSave="{00000000-0000-0000-0000-000000000000}"/>
  <bookViews>
    <workbookView xWindow="-103" yWindow="-103" windowWidth="16663" windowHeight="9463" tabRatio="500" firstSheet="10" activeTab="12" xr2:uid="{00000000-000D-0000-FFFF-FFFF00000000}"/>
  </bookViews>
  <sheets>
    <sheet name="How to use" sheetId="1" r:id="rId1"/>
    <sheet name="Inputs" sheetId="2" r:id="rId2"/>
    <sheet name="Reserve" sheetId="3" r:id="rId3"/>
    <sheet name="Geostatistics" sheetId="4" r:id="rId4"/>
    <sheet name="Pit design" sheetId="5" r:id="rId5"/>
    <sheet name="Fleet" sheetId="6" r:id="rId6"/>
    <sheet name="Safety" sheetId="7" r:id="rId7"/>
    <sheet name="Quality and royalty" sheetId="8" r:id="rId8"/>
    <sheet name="Economics" sheetId="9" r:id="rId9"/>
    <sheet name="Cash flow" sheetId="10" r:id="rId10"/>
    <sheet name="Mine planning" sheetId="11" r:id="rId11"/>
    <sheet name="Finance" sheetId="12" r:id="rId12"/>
    <sheet name="Summary" sheetId="14" r:id="rId13"/>
  </sheets>
  <definedNames>
    <definedName name="_xlnm.Print_Area" localSheetId="11">Finance!$A$1:$S$56</definedName>
    <definedName name="_xlnm.Print_Area" localSheetId="3">Geostatistics!$A$1:$J$85</definedName>
    <definedName name="_xlnm.Print_Area" localSheetId="10">'Mine planning'!$A$1:$D$40</definedName>
    <definedName name="_xlnm.Print_Area" localSheetId="4">'Pit design'!$A$1:$L$74</definedName>
    <definedName name="_xlnm.Print_Area" localSheetId="7">'Quality and royalty'!$A$1:$G$62</definedName>
    <definedName name="_xlnm.Print_Area" localSheetId="6">Safety!$A$1:$F$48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4" i="12" l="1"/>
  <c r="P33" i="12"/>
  <c r="P32" i="12"/>
  <c r="P31" i="12"/>
  <c r="P30" i="12"/>
  <c r="P29" i="12"/>
  <c r="P28" i="12"/>
  <c r="P27" i="12"/>
  <c r="B20" i="12"/>
  <c r="B19" i="12"/>
  <c r="B18" i="12"/>
  <c r="C18" i="12" s="1"/>
  <c r="B13" i="12"/>
  <c r="B11" i="12"/>
  <c r="B9" i="12"/>
  <c r="B8" i="12"/>
  <c r="B37" i="11"/>
  <c r="B18" i="11"/>
  <c r="B11" i="11"/>
  <c r="B18" i="10"/>
  <c r="H14" i="10"/>
  <c r="H13" i="10"/>
  <c r="H12" i="10"/>
  <c r="H11" i="10"/>
  <c r="H10" i="10"/>
  <c r="H9" i="10"/>
  <c r="H8" i="10"/>
  <c r="H7" i="10"/>
  <c r="H6" i="10"/>
  <c r="H5" i="10"/>
  <c r="B33" i="9"/>
  <c r="B28" i="9"/>
  <c r="B15" i="9"/>
  <c r="B14" i="9"/>
  <c r="B11" i="9"/>
  <c r="B6" i="9"/>
  <c r="B52" i="8"/>
  <c r="B53" i="8" s="1"/>
  <c r="B50" i="8"/>
  <c r="B46" i="8"/>
  <c r="B36" i="8"/>
  <c r="B32" i="8"/>
  <c r="B31" i="8"/>
  <c r="B25" i="8"/>
  <c r="B18" i="8"/>
  <c r="B20" i="8" s="1"/>
  <c r="C13" i="8"/>
  <c r="G12" i="8"/>
  <c r="E12" i="8"/>
  <c r="F12" i="8" s="1"/>
  <c r="G11" i="8"/>
  <c r="E11" i="8"/>
  <c r="F11" i="8" s="1"/>
  <c r="G10" i="8"/>
  <c r="G13" i="8" s="1"/>
  <c r="E10" i="8"/>
  <c r="F10" i="8" s="1"/>
  <c r="G9" i="8"/>
  <c r="E9" i="8"/>
  <c r="F9" i="8" s="1"/>
  <c r="G8" i="8"/>
  <c r="E8" i="8"/>
  <c r="F8" i="8" s="1"/>
  <c r="G7" i="8"/>
  <c r="E7" i="8"/>
  <c r="F7" i="8" s="1"/>
  <c r="G6" i="8"/>
  <c r="E6" i="8"/>
  <c r="F6" i="8" s="1"/>
  <c r="B46" i="7"/>
  <c r="B45" i="7"/>
  <c r="B44" i="7"/>
  <c r="A43" i="7"/>
  <c r="B43" i="7" s="1"/>
  <c r="A42" i="7"/>
  <c r="B42" i="7" s="1"/>
  <c r="B25" i="7"/>
  <c r="B22" i="7"/>
  <c r="B21" i="7"/>
  <c r="B20" i="7"/>
  <c r="B15" i="7"/>
  <c r="B14" i="7"/>
  <c r="B16" i="7" s="1"/>
  <c r="B12" i="7"/>
  <c r="B9" i="7"/>
  <c r="B8" i="7"/>
  <c r="B7" i="7"/>
  <c r="B6" i="7"/>
  <c r="B10" i="7" s="1"/>
  <c r="C28" i="6"/>
  <c r="C27" i="6"/>
  <c r="B26" i="6"/>
  <c r="C20" i="6"/>
  <c r="B20" i="6"/>
  <c r="C14" i="6"/>
  <c r="B14" i="6"/>
  <c r="C10" i="6"/>
  <c r="B10" i="6"/>
  <c r="C7" i="6"/>
  <c r="B7" i="6"/>
  <c r="C6" i="6"/>
  <c r="C8" i="6" s="1"/>
  <c r="B6" i="6"/>
  <c r="B8" i="6" s="1"/>
  <c r="B71" i="5"/>
  <c r="B53" i="5"/>
  <c r="B47" i="5"/>
  <c r="B46" i="5"/>
  <c r="B45" i="5"/>
  <c r="B44" i="5"/>
  <c r="B33"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6" i="5"/>
  <c r="A6" i="5"/>
  <c r="B65" i="4"/>
  <c r="B64" i="4"/>
  <c r="J46" i="4"/>
  <c r="J45" i="4"/>
  <c r="J44" i="4"/>
  <c r="J43" i="4"/>
  <c r="J42" i="4"/>
  <c r="J41" i="4"/>
  <c r="B41" i="4"/>
  <c r="J40" i="4"/>
  <c r="J39" i="4"/>
  <c r="J38" i="4"/>
  <c r="B38" i="4"/>
  <c r="J37" i="4"/>
  <c r="B37" i="4"/>
  <c r="J36" i="4"/>
  <c r="B36" i="4"/>
  <c r="J35" i="4"/>
  <c r="B35" i="4"/>
  <c r="J34" i="4"/>
  <c r="B34" i="4"/>
  <c r="E25" i="4"/>
  <c r="D25" i="4"/>
  <c r="A25" i="4"/>
  <c r="E24" i="4"/>
  <c r="D24" i="4"/>
  <c r="A24" i="4"/>
  <c r="E23" i="4"/>
  <c r="D23" i="4"/>
  <c r="A23" i="4"/>
  <c r="E22" i="4"/>
  <c r="D22" i="4"/>
  <c r="A22" i="4"/>
  <c r="E21" i="4"/>
  <c r="D21" i="4"/>
  <c r="A21" i="4"/>
  <c r="E20" i="4"/>
  <c r="D20" i="4"/>
  <c r="A20" i="4"/>
  <c r="E19" i="4"/>
  <c r="D19" i="4"/>
  <c r="A19" i="4"/>
  <c r="E18" i="4"/>
  <c r="D18" i="4"/>
  <c r="A18" i="4"/>
  <c r="E17" i="4"/>
  <c r="D17" i="4"/>
  <c r="A17" i="4"/>
  <c r="E16" i="4"/>
  <c r="D16" i="4"/>
  <c r="A16" i="4"/>
  <c r="E15" i="4"/>
  <c r="D15" i="4"/>
  <c r="A15" i="4"/>
  <c r="E14" i="4"/>
  <c r="D14" i="4"/>
  <c r="A14" i="4"/>
  <c r="E13" i="4"/>
  <c r="D13" i="4"/>
  <c r="A13" i="4"/>
  <c r="E12" i="4"/>
  <c r="D12" i="4"/>
  <c r="A12" i="4"/>
  <c r="E11" i="4"/>
  <c r="D11" i="4"/>
  <c r="A11" i="4"/>
  <c r="E10" i="4"/>
  <c r="D10" i="4"/>
  <c r="A10" i="4"/>
  <c r="E9" i="4"/>
  <c r="D9" i="4"/>
  <c r="A9" i="4"/>
  <c r="E8" i="4"/>
  <c r="D8" i="4"/>
  <c r="A8" i="4"/>
  <c r="E7" i="4"/>
  <c r="D7" i="4"/>
  <c r="A7" i="4"/>
  <c r="E6" i="4"/>
  <c r="D6" i="4"/>
  <c r="A6" i="4"/>
  <c r="C26" i="3"/>
  <c r="B26" i="3"/>
  <c r="D25" i="3"/>
  <c r="D24" i="3"/>
  <c r="D23" i="3"/>
  <c r="D22" i="3"/>
  <c r="D21" i="3"/>
  <c r="D20" i="3"/>
  <c r="D19" i="3"/>
  <c r="D18" i="3"/>
  <c r="D17" i="3"/>
  <c r="D16" i="3"/>
  <c r="D15" i="3"/>
  <c r="D14" i="3"/>
  <c r="D13" i="3"/>
  <c r="D12" i="3"/>
  <c r="D11" i="3"/>
  <c r="D10" i="3"/>
  <c r="D9" i="3"/>
  <c r="D8" i="3"/>
  <c r="D7" i="3"/>
  <c r="D6" i="3"/>
  <c r="P26" i="12" l="1"/>
  <c r="P25" i="12"/>
  <c r="P24" i="12"/>
  <c r="B16" i="9"/>
  <c r="B45" i="14"/>
  <c r="B57" i="8"/>
  <c r="B41" i="8"/>
  <c r="B21" i="8"/>
  <c r="B22" i="8" s="1"/>
  <c r="B26" i="8" s="1"/>
  <c r="B23" i="8"/>
  <c r="B24" i="8" s="1"/>
  <c r="F13" i="8"/>
  <c r="B19" i="8"/>
  <c r="B42" i="14" s="1"/>
  <c r="C46" i="7"/>
  <c r="D46" i="7"/>
  <c r="E46" i="7" s="1"/>
  <c r="F46" i="7" s="1"/>
  <c r="C45" i="7"/>
  <c r="D45" i="7"/>
  <c r="E45" i="7" s="1"/>
  <c r="F45" i="7" s="1"/>
  <c r="C44" i="7"/>
  <c r="D44" i="7"/>
  <c r="E44" i="7" s="1"/>
  <c r="F44" i="7" s="1"/>
  <c r="C43" i="7"/>
  <c r="D43" i="7"/>
  <c r="E43" i="7" s="1"/>
  <c r="F43" i="7" s="1"/>
  <c r="C42" i="7"/>
  <c r="D42" i="7"/>
  <c r="E42" i="7" s="1"/>
  <c r="F42" i="7" s="1"/>
  <c r="B48" i="14"/>
  <c r="B23" i="7"/>
  <c r="B24" i="7" s="1"/>
  <c r="B27" i="7" s="1"/>
  <c r="B29" i="7"/>
  <c r="C18" i="6"/>
  <c r="C19" i="6"/>
  <c r="B18" i="6"/>
  <c r="B19" i="6"/>
  <c r="C9" i="6"/>
  <c r="C15" i="6" s="1"/>
  <c r="C11" i="6"/>
  <c r="C12" i="6" s="1"/>
  <c r="B9" i="6"/>
  <c r="B15" i="6" s="1"/>
  <c r="B11" i="6"/>
  <c r="B74" i="5"/>
  <c r="D25" i="5"/>
  <c r="E25" i="5" s="1"/>
  <c r="D24" i="5"/>
  <c r="E24" i="5"/>
  <c r="D23" i="5"/>
  <c r="E23" i="5"/>
  <c r="D22" i="5"/>
  <c r="E22" i="5" s="1"/>
  <c r="D21" i="5"/>
  <c r="E21" i="5" s="1"/>
  <c r="D20" i="5"/>
  <c r="E20" i="5"/>
  <c r="D19" i="5"/>
  <c r="E19" i="5" s="1"/>
  <c r="D18" i="5"/>
  <c r="E18" i="5" s="1"/>
  <c r="D17" i="5"/>
  <c r="E17" i="5" s="1"/>
  <c r="D16" i="5"/>
  <c r="E16" i="5"/>
  <c r="D15" i="5"/>
  <c r="E15" i="5" s="1"/>
  <c r="D14" i="5"/>
  <c r="E14" i="5" s="1"/>
  <c r="D13" i="5"/>
  <c r="E13" i="5"/>
  <c r="D12" i="5"/>
  <c r="E12" i="5" s="1"/>
  <c r="D11" i="5"/>
  <c r="E11" i="5"/>
  <c r="D10" i="5"/>
  <c r="E10" i="5"/>
  <c r="D9" i="5"/>
  <c r="E9" i="5"/>
  <c r="D8" i="5"/>
  <c r="E8" i="5"/>
  <c r="D7" i="5"/>
  <c r="E7" i="5"/>
  <c r="D6" i="5"/>
  <c r="E6" i="5"/>
  <c r="A144" i="4"/>
  <c r="U124" i="4"/>
  <c r="A167" i="4"/>
  <c r="A121" i="4"/>
  <c r="U147" i="4"/>
  <c r="U99" i="4"/>
  <c r="B25" i="4"/>
  <c r="C25" i="4"/>
  <c r="U101" i="4" s="1"/>
  <c r="A143" i="4"/>
  <c r="A120" i="4"/>
  <c r="B24" i="4"/>
  <c r="C24" i="4"/>
  <c r="T101" i="4" s="1"/>
  <c r="T99" i="4"/>
  <c r="T124" i="4"/>
  <c r="A166" i="4"/>
  <c r="T147" i="4"/>
  <c r="A119" i="4"/>
  <c r="S124" i="4"/>
  <c r="A165" i="4"/>
  <c r="S99" i="4"/>
  <c r="C23" i="4"/>
  <c r="S101" i="4" s="1"/>
  <c r="B23" i="4"/>
  <c r="A142" i="4"/>
  <c r="S147" i="4"/>
  <c r="C22" i="4"/>
  <c r="R101" i="4" s="1"/>
  <c r="B22" i="4"/>
  <c r="A141" i="4"/>
  <c r="A164" i="4"/>
  <c r="R99" i="4"/>
  <c r="A118" i="4"/>
  <c r="R124" i="4"/>
  <c r="R147" i="4"/>
  <c r="Q99" i="4"/>
  <c r="A140" i="4"/>
  <c r="Q147" i="4"/>
  <c r="A163" i="4"/>
  <c r="Q124" i="4"/>
  <c r="B21" i="4"/>
  <c r="A117" i="4"/>
  <c r="C21" i="4"/>
  <c r="Q101" i="4" s="1"/>
  <c r="P124" i="4"/>
  <c r="P147" i="4"/>
  <c r="A116" i="4"/>
  <c r="B20" i="4"/>
  <c r="A139" i="4"/>
  <c r="A162" i="4"/>
  <c r="C20" i="4"/>
  <c r="P101" i="4" s="1"/>
  <c r="P99" i="4"/>
  <c r="C19" i="4"/>
  <c r="O101" i="4" s="1"/>
  <c r="A115" i="4"/>
  <c r="O124" i="4"/>
  <c r="A161" i="4"/>
  <c r="O147" i="4"/>
  <c r="O99" i="4"/>
  <c r="A138" i="4"/>
  <c r="B19" i="4"/>
  <c r="A160" i="4"/>
  <c r="B18" i="4"/>
  <c r="N147" i="4"/>
  <c r="A137" i="4"/>
  <c r="A114" i="4"/>
  <c r="C18" i="4"/>
  <c r="N101" i="4" s="1"/>
  <c r="N99" i="4"/>
  <c r="N124" i="4"/>
  <c r="M147" i="4"/>
  <c r="M124" i="4"/>
  <c r="A113" i="4"/>
  <c r="A159" i="4"/>
  <c r="A136" i="4"/>
  <c r="C17" i="4"/>
  <c r="M101" i="4" s="1"/>
  <c r="B17" i="4"/>
  <c r="M99" i="4"/>
  <c r="A135" i="4"/>
  <c r="A158" i="4"/>
  <c r="L124" i="4"/>
  <c r="L99" i="4"/>
  <c r="B16" i="4"/>
  <c r="C16" i="4"/>
  <c r="L101" i="4" s="1"/>
  <c r="L147" i="4"/>
  <c r="A112" i="4"/>
  <c r="C15" i="4"/>
  <c r="K101" i="4" s="1"/>
  <c r="A134" i="4"/>
  <c r="A157" i="4"/>
  <c r="K99" i="4"/>
  <c r="K147" i="4"/>
  <c r="A111" i="4"/>
  <c r="B15" i="4"/>
  <c r="K124" i="4"/>
  <c r="A110" i="4"/>
  <c r="J147" i="4"/>
  <c r="A156" i="4"/>
  <c r="J124" i="4"/>
  <c r="B14" i="4"/>
  <c r="A133" i="4"/>
  <c r="J99" i="4"/>
  <c r="C14" i="4"/>
  <c r="J101" i="4" s="1"/>
  <c r="B13" i="4"/>
  <c r="A109" i="4"/>
  <c r="A155" i="4"/>
  <c r="I99" i="4"/>
  <c r="C13" i="4"/>
  <c r="I101" i="4" s="1"/>
  <c r="A132" i="4"/>
  <c r="I124" i="4"/>
  <c r="I147" i="4"/>
  <c r="H147" i="4"/>
  <c r="A154" i="4"/>
  <c r="A108" i="4"/>
  <c r="A131" i="4"/>
  <c r="H124" i="4"/>
  <c r="B12" i="4"/>
  <c r="H99" i="4"/>
  <c r="C12" i="4"/>
  <c r="H101" i="4" s="1"/>
  <c r="C11" i="4"/>
  <c r="G101" i="4" s="1"/>
  <c r="G147" i="4"/>
  <c r="A130" i="4"/>
  <c r="A153" i="4"/>
  <c r="A107" i="4"/>
  <c r="B11" i="4"/>
  <c r="G99" i="4"/>
  <c r="G124" i="4"/>
  <c r="A129" i="4"/>
  <c r="C10" i="4"/>
  <c r="F101" i="4" s="1"/>
  <c r="F147" i="4"/>
  <c r="A106" i="4"/>
  <c r="A152" i="4"/>
  <c r="F99" i="4"/>
  <c r="F124" i="4"/>
  <c r="B10" i="4"/>
  <c r="C9" i="4"/>
  <c r="E101" i="4" s="1"/>
  <c r="E147" i="4"/>
  <c r="E99" i="4"/>
  <c r="E124" i="4"/>
  <c r="A105" i="4"/>
  <c r="A151" i="4"/>
  <c r="A128" i="4"/>
  <c r="B9" i="4"/>
  <c r="D147" i="4"/>
  <c r="B8" i="4"/>
  <c r="D99" i="4"/>
  <c r="A104" i="4"/>
  <c r="A150" i="4"/>
  <c r="C8" i="4"/>
  <c r="D101" i="4" s="1"/>
  <c r="A127" i="4"/>
  <c r="D124" i="4"/>
  <c r="C147" i="4"/>
  <c r="C99" i="4"/>
  <c r="B7" i="4"/>
  <c r="A126" i="4"/>
  <c r="A149" i="4"/>
  <c r="C7" i="4"/>
  <c r="C101" i="4" s="1"/>
  <c r="A103" i="4"/>
  <c r="C124" i="4"/>
  <c r="B147" i="4"/>
  <c r="B99" i="4"/>
  <c r="A148" i="4"/>
  <c r="A125" i="4"/>
  <c r="A102" i="4"/>
  <c r="B6" i="4"/>
  <c r="B124" i="4"/>
  <c r="C6" i="4"/>
  <c r="B101" i="4" s="1"/>
  <c r="F25" i="3"/>
  <c r="G25" i="3" s="1"/>
  <c r="E25" i="3"/>
  <c r="H25" i="3" s="1"/>
  <c r="F24" i="3"/>
  <c r="G24" i="3" s="1"/>
  <c r="E24" i="3"/>
  <c r="H24" i="3" s="1"/>
  <c r="F23" i="3"/>
  <c r="G23" i="3" s="1"/>
  <c r="E23" i="3"/>
  <c r="H23" i="3" s="1"/>
  <c r="F22" i="3"/>
  <c r="G22" i="3" s="1"/>
  <c r="E22" i="3"/>
  <c r="H22" i="3" s="1"/>
  <c r="E21" i="3"/>
  <c r="F21" i="3"/>
  <c r="G21" i="3" s="1"/>
  <c r="E20" i="3"/>
  <c r="F20" i="3"/>
  <c r="G20" i="3" s="1"/>
  <c r="E19" i="3"/>
  <c r="F19" i="3"/>
  <c r="G19" i="3" s="1"/>
  <c r="F18" i="3"/>
  <c r="G18" i="3" s="1"/>
  <c r="E18" i="3"/>
  <c r="H18" i="3" s="1"/>
  <c r="E17" i="3"/>
  <c r="F17" i="3"/>
  <c r="G17" i="3" s="1"/>
  <c r="E16" i="3"/>
  <c r="F16" i="3"/>
  <c r="G16" i="3" s="1"/>
  <c r="F15" i="3"/>
  <c r="G15" i="3" s="1"/>
  <c r="E15" i="3"/>
  <c r="H15" i="3" s="1"/>
  <c r="E14" i="3"/>
  <c r="F14" i="3"/>
  <c r="G14" i="3" s="1"/>
  <c r="E13" i="3"/>
  <c r="F13" i="3"/>
  <c r="G13" i="3" s="1"/>
  <c r="E12" i="3"/>
  <c r="F12" i="3"/>
  <c r="G12" i="3" s="1"/>
  <c r="E11" i="3"/>
  <c r="F11" i="3"/>
  <c r="G11" i="3" s="1"/>
  <c r="F10" i="3"/>
  <c r="G10" i="3" s="1"/>
  <c r="E10" i="3"/>
  <c r="H10" i="3" s="1"/>
  <c r="E9" i="3"/>
  <c r="F9" i="3"/>
  <c r="G9" i="3" s="1"/>
  <c r="E8" i="3"/>
  <c r="F8" i="3"/>
  <c r="G8" i="3" s="1"/>
  <c r="E7" i="3"/>
  <c r="F7" i="3"/>
  <c r="G7" i="3" s="1"/>
  <c r="D26" i="3"/>
  <c r="E6" i="3"/>
  <c r="F6" i="3"/>
  <c r="B11" i="7"/>
  <c r="B13" i="7" s="1"/>
  <c r="B28" i="7" s="1"/>
  <c r="B50" i="14" s="1"/>
  <c r="B45" i="8" l="1"/>
  <c r="B19" i="9"/>
  <c r="B43" i="14"/>
  <c r="B33" i="8"/>
  <c r="B27" i="8"/>
  <c r="B47" i="14"/>
  <c r="B26" i="7"/>
  <c r="B49" i="14" s="1"/>
  <c r="C16" i="6"/>
  <c r="C17" i="6"/>
  <c r="C21" i="6" s="1"/>
  <c r="B16" i="6"/>
  <c r="B17" i="6"/>
  <c r="B21" i="6" s="1"/>
  <c r="B12" i="6"/>
  <c r="B7" i="9"/>
  <c r="D121" i="4"/>
  <c r="D167" i="4" s="1"/>
  <c r="F121" i="4"/>
  <c r="F167" i="4" s="1"/>
  <c r="H121" i="4"/>
  <c r="H167" i="4" s="1"/>
  <c r="J121" i="4"/>
  <c r="J167" i="4" s="1"/>
  <c r="N121" i="4"/>
  <c r="N167" i="4" s="1"/>
  <c r="Q121" i="4"/>
  <c r="Q167" i="4" s="1"/>
  <c r="S121" i="4"/>
  <c r="S167" i="4" s="1"/>
  <c r="T121" i="4"/>
  <c r="T167" i="4" s="1"/>
  <c r="V121" i="4"/>
  <c r="X167" i="4" s="1"/>
  <c r="B121" i="4"/>
  <c r="B167" i="4" s="1"/>
  <c r="C121" i="4"/>
  <c r="C167" i="4" s="1"/>
  <c r="E121" i="4"/>
  <c r="E167" i="4" s="1"/>
  <c r="G121" i="4"/>
  <c r="G167" i="4" s="1"/>
  <c r="I121" i="4"/>
  <c r="I167" i="4" s="1"/>
  <c r="K121" i="4"/>
  <c r="K167" i="4" s="1"/>
  <c r="L121" i="4"/>
  <c r="L167" i="4" s="1"/>
  <c r="M121" i="4"/>
  <c r="M167" i="4" s="1"/>
  <c r="O121" i="4"/>
  <c r="O167" i="4" s="1"/>
  <c r="P121" i="4"/>
  <c r="P167" i="4" s="1"/>
  <c r="R121" i="4"/>
  <c r="R167" i="4" s="1"/>
  <c r="U121" i="4"/>
  <c r="U167" i="4" s="1"/>
  <c r="U100" i="4"/>
  <c r="B120" i="4"/>
  <c r="B166" i="4" s="1"/>
  <c r="D120" i="4"/>
  <c r="D166" i="4" s="1"/>
  <c r="G120" i="4"/>
  <c r="G166" i="4" s="1"/>
  <c r="I120" i="4"/>
  <c r="I166" i="4" s="1"/>
  <c r="J120" i="4"/>
  <c r="J166" i="4" s="1"/>
  <c r="M120" i="4"/>
  <c r="M166" i="4" s="1"/>
  <c r="O120" i="4"/>
  <c r="O166" i="4" s="1"/>
  <c r="S120" i="4"/>
  <c r="S166" i="4" s="1"/>
  <c r="T120" i="4"/>
  <c r="T166" i="4" s="1"/>
  <c r="T100" i="4"/>
  <c r="C120" i="4"/>
  <c r="C166" i="4" s="1"/>
  <c r="H120" i="4"/>
  <c r="H166" i="4" s="1"/>
  <c r="P120" i="4"/>
  <c r="P166" i="4" s="1"/>
  <c r="V120" i="4"/>
  <c r="X166" i="4" s="1"/>
  <c r="S100" i="4"/>
  <c r="C119" i="4"/>
  <c r="C165" i="4" s="1"/>
  <c r="F119" i="4"/>
  <c r="F165" i="4" s="1"/>
  <c r="I119" i="4"/>
  <c r="I165" i="4" s="1"/>
  <c r="O119" i="4"/>
  <c r="O165" i="4" s="1"/>
  <c r="T119" i="4"/>
  <c r="T165" i="4" s="1"/>
  <c r="V119" i="4"/>
  <c r="X165" i="4" s="1"/>
  <c r="D119" i="4"/>
  <c r="D165" i="4" s="1"/>
  <c r="G119" i="4"/>
  <c r="G165" i="4" s="1"/>
  <c r="H119" i="4"/>
  <c r="H165" i="4" s="1"/>
  <c r="P119" i="4"/>
  <c r="P165" i="4" s="1"/>
  <c r="S119" i="4"/>
  <c r="S165" i="4" s="1"/>
  <c r="D118" i="4"/>
  <c r="D164" i="4" s="1"/>
  <c r="E118" i="4"/>
  <c r="E164" i="4" s="1"/>
  <c r="G118" i="4"/>
  <c r="G164" i="4" s="1"/>
  <c r="I118" i="4"/>
  <c r="I164" i="4" s="1"/>
  <c r="N118" i="4"/>
  <c r="N164" i="4" s="1"/>
  <c r="P118" i="4"/>
  <c r="P164" i="4" s="1"/>
  <c r="T118" i="4"/>
  <c r="T164" i="4" s="1"/>
  <c r="V118" i="4"/>
  <c r="X164" i="4" s="1"/>
  <c r="R100" i="4"/>
  <c r="C118" i="4"/>
  <c r="C164" i="4" s="1"/>
  <c r="F118" i="4"/>
  <c r="F164" i="4" s="1"/>
  <c r="H118" i="4"/>
  <c r="H164" i="4" s="1"/>
  <c r="J118" i="4"/>
  <c r="J164" i="4" s="1"/>
  <c r="M118" i="4"/>
  <c r="M164" i="4" s="1"/>
  <c r="O118" i="4"/>
  <c r="O164" i="4" s="1"/>
  <c r="S118" i="4"/>
  <c r="S164" i="4" s="1"/>
  <c r="D117" i="4"/>
  <c r="D163" i="4" s="1"/>
  <c r="F117" i="4"/>
  <c r="F163" i="4" s="1"/>
  <c r="H117" i="4"/>
  <c r="H163" i="4" s="1"/>
  <c r="J117" i="4"/>
  <c r="J163" i="4" s="1"/>
  <c r="L117" i="4"/>
  <c r="L163" i="4" s="1"/>
  <c r="O117" i="4"/>
  <c r="O163" i="4" s="1"/>
  <c r="S117" i="4"/>
  <c r="S163" i="4" s="1"/>
  <c r="V117" i="4"/>
  <c r="X163" i="4" s="1"/>
  <c r="Q100" i="4"/>
  <c r="C117" i="4"/>
  <c r="C163" i="4" s="1"/>
  <c r="E117" i="4"/>
  <c r="E163" i="4" s="1"/>
  <c r="G117" i="4"/>
  <c r="G163" i="4" s="1"/>
  <c r="I117" i="4"/>
  <c r="I163" i="4" s="1"/>
  <c r="K117" i="4"/>
  <c r="K163" i="4" s="1"/>
  <c r="M117" i="4"/>
  <c r="M163" i="4" s="1"/>
  <c r="N117" i="4"/>
  <c r="N163" i="4" s="1"/>
  <c r="P117" i="4"/>
  <c r="P163" i="4" s="1"/>
  <c r="R117" i="4"/>
  <c r="R163" i="4" s="1"/>
  <c r="T117" i="4"/>
  <c r="T163" i="4" s="1"/>
  <c r="D116" i="4"/>
  <c r="D162" i="4" s="1"/>
  <c r="P100" i="4"/>
  <c r="C116" i="4"/>
  <c r="C162" i="4" s="1"/>
  <c r="H116" i="4"/>
  <c r="H162" i="4" s="1"/>
  <c r="I116" i="4"/>
  <c r="I162" i="4" s="1"/>
  <c r="V116" i="4"/>
  <c r="X162" i="4" s="1"/>
  <c r="O100" i="4"/>
  <c r="C115" i="4"/>
  <c r="C161" i="4" s="1"/>
  <c r="G115" i="4"/>
  <c r="G161" i="4" s="1"/>
  <c r="T115" i="4"/>
  <c r="T161" i="4" s="1"/>
  <c r="V115" i="4"/>
  <c r="X161" i="4" s="1"/>
  <c r="H115" i="4"/>
  <c r="H161" i="4" s="1"/>
  <c r="P115" i="4"/>
  <c r="P161" i="4" s="1"/>
  <c r="D115" i="4"/>
  <c r="D161" i="4" s="1"/>
  <c r="F115" i="4"/>
  <c r="F161" i="4" s="1"/>
  <c r="I115" i="4"/>
  <c r="I161" i="4" s="1"/>
  <c r="O115" i="4"/>
  <c r="O161" i="4" s="1"/>
  <c r="S115" i="4"/>
  <c r="S161" i="4" s="1"/>
  <c r="D114" i="4"/>
  <c r="D160" i="4" s="1"/>
  <c r="G114" i="4"/>
  <c r="G160" i="4" s="1"/>
  <c r="O114" i="4"/>
  <c r="O160" i="4" s="1"/>
  <c r="V114" i="4"/>
  <c r="X160" i="4" s="1"/>
  <c r="C114" i="4"/>
  <c r="C160" i="4" s="1"/>
  <c r="F114" i="4"/>
  <c r="F160" i="4" s="1"/>
  <c r="T114" i="4"/>
  <c r="T160" i="4" s="1"/>
  <c r="N100" i="4"/>
  <c r="E114" i="4"/>
  <c r="E160" i="4" s="1"/>
  <c r="H114" i="4"/>
  <c r="H160" i="4" s="1"/>
  <c r="I114" i="4"/>
  <c r="I160" i="4" s="1"/>
  <c r="P114" i="4"/>
  <c r="P160" i="4" s="1"/>
  <c r="S114" i="4"/>
  <c r="S160" i="4" s="1"/>
  <c r="G113" i="4"/>
  <c r="G159" i="4" s="1"/>
  <c r="P113" i="4"/>
  <c r="P159" i="4" s="1"/>
  <c r="T113" i="4"/>
  <c r="T159" i="4" s="1"/>
  <c r="C113" i="4"/>
  <c r="C159" i="4" s="1"/>
  <c r="E113" i="4"/>
  <c r="E159" i="4" s="1"/>
  <c r="H113" i="4"/>
  <c r="H159" i="4" s="1"/>
  <c r="O113" i="4"/>
  <c r="O159" i="4" s="1"/>
  <c r="V113" i="4"/>
  <c r="X159" i="4" s="1"/>
  <c r="M100" i="4"/>
  <c r="D113" i="4"/>
  <c r="D159" i="4" s="1"/>
  <c r="F113" i="4"/>
  <c r="F159" i="4" s="1"/>
  <c r="I113" i="4"/>
  <c r="I159" i="4" s="1"/>
  <c r="N113" i="4"/>
  <c r="N159" i="4" s="1"/>
  <c r="S113" i="4"/>
  <c r="S159" i="4" s="1"/>
  <c r="L100" i="4"/>
  <c r="C112" i="4"/>
  <c r="C158" i="4" s="1"/>
  <c r="F112" i="4"/>
  <c r="F158" i="4" s="1"/>
  <c r="I112" i="4"/>
  <c r="I158" i="4" s="1"/>
  <c r="N112" i="4"/>
  <c r="N158" i="4" s="1"/>
  <c r="P112" i="4"/>
  <c r="P158" i="4" s="1"/>
  <c r="R112" i="4"/>
  <c r="R158" i="4" s="1"/>
  <c r="V112" i="4"/>
  <c r="X158" i="4" s="1"/>
  <c r="E112" i="4"/>
  <c r="E158" i="4" s="1"/>
  <c r="H112" i="4"/>
  <c r="H158" i="4" s="1"/>
  <c r="L112" i="4"/>
  <c r="L158" i="4" s="1"/>
  <c r="S112" i="4"/>
  <c r="S158" i="4" s="1"/>
  <c r="D112" i="4"/>
  <c r="D158" i="4" s="1"/>
  <c r="G112" i="4"/>
  <c r="G158" i="4" s="1"/>
  <c r="M112" i="4"/>
  <c r="M158" i="4" s="1"/>
  <c r="O112" i="4"/>
  <c r="O158" i="4" s="1"/>
  <c r="T112" i="4"/>
  <c r="T158" i="4" s="1"/>
  <c r="C111" i="4"/>
  <c r="C157" i="4" s="1"/>
  <c r="G111" i="4"/>
  <c r="G157" i="4" s="1"/>
  <c r="M111" i="4"/>
  <c r="M157" i="4" s="1"/>
  <c r="O111" i="4"/>
  <c r="O157" i="4" s="1"/>
  <c r="R111" i="4"/>
  <c r="R157" i="4" s="1"/>
  <c r="K100" i="4"/>
  <c r="D111" i="4"/>
  <c r="D157" i="4" s="1"/>
  <c r="F111" i="4"/>
  <c r="F157" i="4" s="1"/>
  <c r="H111" i="4"/>
  <c r="H157" i="4" s="1"/>
  <c r="I111" i="4"/>
  <c r="I157" i="4" s="1"/>
  <c r="K111" i="4"/>
  <c r="K157" i="4" s="1"/>
  <c r="L111" i="4"/>
  <c r="L157" i="4" s="1"/>
  <c r="N111" i="4"/>
  <c r="N157" i="4" s="1"/>
  <c r="T111" i="4"/>
  <c r="T157" i="4" s="1"/>
  <c r="E111" i="4"/>
  <c r="E157" i="4" s="1"/>
  <c r="P111" i="4"/>
  <c r="P157" i="4" s="1"/>
  <c r="S111" i="4"/>
  <c r="S157" i="4" s="1"/>
  <c r="V111" i="4"/>
  <c r="X157" i="4" s="1"/>
  <c r="C110" i="4"/>
  <c r="C156" i="4" s="1"/>
  <c r="E110" i="4"/>
  <c r="E156" i="4" s="1"/>
  <c r="H110" i="4"/>
  <c r="H156" i="4" s="1"/>
  <c r="L110" i="4"/>
  <c r="L156" i="4" s="1"/>
  <c r="N110" i="4"/>
  <c r="N156" i="4" s="1"/>
  <c r="P110" i="4"/>
  <c r="P156" i="4" s="1"/>
  <c r="R110" i="4"/>
  <c r="R156" i="4" s="1"/>
  <c r="T110" i="4"/>
  <c r="T156" i="4" s="1"/>
  <c r="G110" i="4"/>
  <c r="G156" i="4" s="1"/>
  <c r="K110" i="4"/>
  <c r="K156" i="4" s="1"/>
  <c r="D110" i="4"/>
  <c r="D156" i="4" s="1"/>
  <c r="F110" i="4"/>
  <c r="F156" i="4" s="1"/>
  <c r="I110" i="4"/>
  <c r="I156" i="4" s="1"/>
  <c r="M110" i="4"/>
  <c r="M156" i="4" s="1"/>
  <c r="O110" i="4"/>
  <c r="O156" i="4" s="1"/>
  <c r="S110" i="4"/>
  <c r="S156" i="4" s="1"/>
  <c r="V110" i="4"/>
  <c r="X156" i="4" s="1"/>
  <c r="J100" i="4"/>
  <c r="D109" i="4"/>
  <c r="D155" i="4" s="1"/>
  <c r="I109" i="4"/>
  <c r="I155" i="4" s="1"/>
  <c r="L109" i="4"/>
  <c r="L155" i="4" s="1"/>
  <c r="N109" i="4"/>
  <c r="N155" i="4" s="1"/>
  <c r="P109" i="4"/>
  <c r="P155" i="4" s="1"/>
  <c r="I100" i="4"/>
  <c r="I104" i="4" s="1"/>
  <c r="I150" i="4" s="1"/>
  <c r="V109" i="4"/>
  <c r="X155" i="4" s="1"/>
  <c r="H100" i="4"/>
  <c r="H109" i="4" s="1"/>
  <c r="H155" i="4" s="1"/>
  <c r="D108" i="4"/>
  <c r="D154" i="4" s="1"/>
  <c r="H108" i="4"/>
  <c r="H154" i="4" s="1"/>
  <c r="I108" i="4"/>
  <c r="I154" i="4" s="1"/>
  <c r="V108" i="4"/>
  <c r="X154" i="4" s="1"/>
  <c r="C108" i="4"/>
  <c r="C154" i="4" s="1"/>
  <c r="D107" i="4"/>
  <c r="D153" i="4" s="1"/>
  <c r="C107" i="4"/>
  <c r="C153" i="4" s="1"/>
  <c r="H107" i="4"/>
  <c r="H153" i="4" s="1"/>
  <c r="P107" i="4"/>
  <c r="P153" i="4" s="1"/>
  <c r="T107" i="4"/>
  <c r="T153" i="4" s="1"/>
  <c r="I107" i="4"/>
  <c r="I153" i="4" s="1"/>
  <c r="V107" i="4"/>
  <c r="X153" i="4" s="1"/>
  <c r="G100" i="4"/>
  <c r="F100" i="4"/>
  <c r="G106" i="4"/>
  <c r="G152" i="4" s="1"/>
  <c r="P106" i="4"/>
  <c r="P152" i="4" s="1"/>
  <c r="T106" i="4"/>
  <c r="T152" i="4" s="1"/>
  <c r="D106" i="4"/>
  <c r="D152" i="4" s="1"/>
  <c r="S106" i="4"/>
  <c r="S152" i="4" s="1"/>
  <c r="C106" i="4"/>
  <c r="C152" i="4" s="1"/>
  <c r="F106" i="4"/>
  <c r="F152" i="4" s="1"/>
  <c r="I106" i="4"/>
  <c r="I152" i="4" s="1"/>
  <c r="O106" i="4"/>
  <c r="O152" i="4" s="1"/>
  <c r="V106" i="4"/>
  <c r="X152" i="4" s="1"/>
  <c r="H106" i="4"/>
  <c r="H152" i="4" s="1"/>
  <c r="F105" i="4"/>
  <c r="F151" i="4" s="1"/>
  <c r="I105" i="4"/>
  <c r="I151" i="4" s="1"/>
  <c r="S105" i="4"/>
  <c r="S151" i="4" s="1"/>
  <c r="D105" i="4"/>
  <c r="D151" i="4" s="1"/>
  <c r="H105" i="4"/>
  <c r="H151" i="4" s="1"/>
  <c r="O105" i="4"/>
  <c r="O151" i="4" s="1"/>
  <c r="V105" i="4"/>
  <c r="X151" i="4" s="1"/>
  <c r="E100" i="4"/>
  <c r="E105" i="4"/>
  <c r="E151" i="4" s="1"/>
  <c r="G105" i="4"/>
  <c r="G151" i="4" s="1"/>
  <c r="P105" i="4"/>
  <c r="P151" i="4" s="1"/>
  <c r="T105" i="4"/>
  <c r="T151" i="4" s="1"/>
  <c r="C105" i="4"/>
  <c r="C151" i="4" s="1"/>
  <c r="E104" i="4"/>
  <c r="E150" i="4" s="1"/>
  <c r="G104" i="4"/>
  <c r="G150" i="4" s="1"/>
  <c r="O104" i="4"/>
  <c r="O150" i="4" s="1"/>
  <c r="T104" i="4"/>
  <c r="T150" i="4" s="1"/>
  <c r="D104" i="4"/>
  <c r="D150" i="4" s="1"/>
  <c r="N104" i="4"/>
  <c r="N150" i="4" s="1"/>
  <c r="C104" i="4"/>
  <c r="C150" i="4" s="1"/>
  <c r="H104" i="4"/>
  <c r="H150" i="4" s="1"/>
  <c r="D100" i="4"/>
  <c r="V104" i="4"/>
  <c r="X150" i="4" s="1"/>
  <c r="C100" i="4"/>
  <c r="C109" i="4" s="1"/>
  <c r="C155" i="4" s="1"/>
  <c r="I103" i="4"/>
  <c r="I149" i="4" s="1"/>
  <c r="V103" i="4"/>
  <c r="X149" i="4" s="1"/>
  <c r="H103" i="4"/>
  <c r="H149" i="4" s="1"/>
  <c r="C103" i="4"/>
  <c r="C149" i="4" s="1"/>
  <c r="D103" i="4"/>
  <c r="D149" i="4" s="1"/>
  <c r="T103" i="4"/>
  <c r="T149" i="4" s="1"/>
  <c r="D29" i="4"/>
  <c r="E30" i="4"/>
  <c r="F102" i="4"/>
  <c r="F148" i="4" s="1"/>
  <c r="I102" i="4"/>
  <c r="I148" i="4" s="1"/>
  <c r="M102" i="4"/>
  <c r="M148" i="4" s="1"/>
  <c r="P102" i="4"/>
  <c r="P148" i="4" s="1"/>
  <c r="T102" i="4"/>
  <c r="T148" i="4" s="1"/>
  <c r="C29" i="4"/>
  <c r="B30" i="4"/>
  <c r="C30" i="4"/>
  <c r="B100" i="4"/>
  <c r="D102" i="4"/>
  <c r="D148" i="4" s="1"/>
  <c r="H102" i="4"/>
  <c r="H148" i="4" s="1"/>
  <c r="V102" i="4"/>
  <c r="B29" i="4"/>
  <c r="E29" i="4"/>
  <c r="D30" i="4"/>
  <c r="C102" i="4"/>
  <c r="C148" i="4" s="1"/>
  <c r="E102" i="4"/>
  <c r="E148" i="4" s="1"/>
  <c r="G102" i="4"/>
  <c r="G148" i="4" s="1"/>
  <c r="K102" i="4"/>
  <c r="K148" i="4" s="1"/>
  <c r="N102" i="4"/>
  <c r="N148" i="4" s="1"/>
  <c r="Q102" i="4"/>
  <c r="Q148" i="4" s="1"/>
  <c r="S102" i="4"/>
  <c r="S148" i="4" s="1"/>
  <c r="B102" i="4"/>
  <c r="J102" i="4"/>
  <c r="J148" i="4" s="1"/>
  <c r="L102" i="4"/>
  <c r="L148" i="4" s="1"/>
  <c r="O102" i="4"/>
  <c r="O148" i="4" s="1"/>
  <c r="E26" i="3"/>
  <c r="H26" i="3" s="1"/>
  <c r="B31" i="3" s="1"/>
  <c r="B8" i="14" s="1"/>
  <c r="F26" i="3"/>
  <c r="G6" i="3"/>
  <c r="H21" i="3"/>
  <c r="H20" i="3"/>
  <c r="H19" i="3"/>
  <c r="H17" i="3"/>
  <c r="H16" i="3"/>
  <c r="H14" i="3"/>
  <c r="H13" i="3"/>
  <c r="H12" i="3"/>
  <c r="H11" i="3"/>
  <c r="H9" i="3"/>
  <c r="H8" i="3"/>
  <c r="H7" i="3"/>
  <c r="B12" i="9"/>
  <c r="C29" i="6"/>
  <c r="B47" i="8" l="1"/>
  <c r="B54" i="8"/>
  <c r="B29" i="9"/>
  <c r="B20" i="14"/>
  <c r="B34" i="8"/>
  <c r="B35" i="8"/>
  <c r="B39" i="8" s="1"/>
  <c r="C22" i="6"/>
  <c r="C23" i="6" s="1"/>
  <c r="C24" i="6"/>
  <c r="B22" i="6"/>
  <c r="B23" i="6" s="1"/>
  <c r="B8" i="9" s="1"/>
  <c r="B9" i="9" s="1"/>
  <c r="B24" i="6"/>
  <c r="B16" i="14"/>
  <c r="H7" i="4"/>
  <c r="I7" i="4" s="1"/>
  <c r="H8" i="4"/>
  <c r="I8" i="4" s="1"/>
  <c r="H10" i="4"/>
  <c r="I10" i="4" s="1"/>
  <c r="H17" i="4"/>
  <c r="I17" i="4" s="1"/>
  <c r="H18" i="4"/>
  <c r="I18" i="4" s="1"/>
  <c r="H21" i="4"/>
  <c r="I21" i="4" s="1"/>
  <c r="H6" i="4"/>
  <c r="I6" i="4" s="1"/>
  <c r="H11" i="4"/>
  <c r="I11" i="4" s="1"/>
  <c r="H13" i="4"/>
  <c r="I13" i="4" s="1"/>
  <c r="B72" i="4"/>
  <c r="H12" i="4"/>
  <c r="I12" i="4" s="1"/>
  <c r="H14" i="4"/>
  <c r="I14" i="4" s="1"/>
  <c r="H15" i="4"/>
  <c r="I15" i="4" s="1"/>
  <c r="H16" i="4"/>
  <c r="I16" i="4" s="1"/>
  <c r="H19" i="4"/>
  <c r="I19" i="4" s="1"/>
  <c r="H22" i="4"/>
  <c r="I22" i="4" s="1"/>
  <c r="H9" i="4"/>
  <c r="I9" i="4" s="1"/>
  <c r="H20" i="4"/>
  <c r="I20" i="4" s="1"/>
  <c r="H23" i="4"/>
  <c r="I23" i="4" s="1"/>
  <c r="H24" i="4"/>
  <c r="I24" i="4" s="1"/>
  <c r="H25" i="4"/>
  <c r="I25" i="4" s="1"/>
  <c r="B79" i="4"/>
  <c r="X148" i="4"/>
  <c r="B78" i="4"/>
  <c r="B66" i="4"/>
  <c r="B67" i="4"/>
  <c r="F7" i="4"/>
  <c r="G7" i="4" s="1"/>
  <c r="F8" i="4"/>
  <c r="G8" i="4" s="1"/>
  <c r="F9" i="4"/>
  <c r="G9" i="4" s="1"/>
  <c r="F6" i="4"/>
  <c r="G6" i="4" s="1"/>
  <c r="F18" i="4"/>
  <c r="G18" i="4" s="1"/>
  <c r="F20" i="4"/>
  <c r="G20" i="4" s="1"/>
  <c r="F21" i="4"/>
  <c r="G21" i="4" s="1"/>
  <c r="F24" i="4"/>
  <c r="G24" i="4" s="1"/>
  <c r="F10" i="4"/>
  <c r="G10" i="4" s="1"/>
  <c r="F11" i="4"/>
  <c r="G11" i="4" s="1"/>
  <c r="F14" i="4"/>
  <c r="G14" i="4" s="1"/>
  <c r="F17" i="4"/>
  <c r="G17" i="4" s="1"/>
  <c r="F22" i="4"/>
  <c r="G22" i="4" s="1"/>
  <c r="B71" i="4"/>
  <c r="F12" i="4"/>
  <c r="G12" i="4" s="1"/>
  <c r="F13" i="4"/>
  <c r="G13" i="4" s="1"/>
  <c r="F15" i="4"/>
  <c r="G15" i="4" s="1"/>
  <c r="F16" i="4"/>
  <c r="G16" i="4" s="1"/>
  <c r="F19" i="4"/>
  <c r="G19" i="4" s="1"/>
  <c r="F23" i="4"/>
  <c r="G23" i="4" s="1"/>
  <c r="F25" i="4"/>
  <c r="G25" i="4" s="1"/>
  <c r="C38" i="4"/>
  <c r="B148" i="4"/>
  <c r="U113" i="4"/>
  <c r="U159" i="4" s="1"/>
  <c r="U115" i="4"/>
  <c r="U161" i="4" s="1"/>
  <c r="U116" i="4"/>
  <c r="U162" i="4" s="1"/>
  <c r="U104" i="4"/>
  <c r="U150" i="4" s="1"/>
  <c r="U120" i="4"/>
  <c r="U166" i="4" s="1"/>
  <c r="U106" i="4"/>
  <c r="U152" i="4" s="1"/>
  <c r="U110" i="4"/>
  <c r="U156" i="4" s="1"/>
  <c r="U102" i="4"/>
  <c r="U111" i="4"/>
  <c r="U157" i="4" s="1"/>
  <c r="U103" i="4"/>
  <c r="U149" i="4" s="1"/>
  <c r="U105" i="4"/>
  <c r="U151" i="4" s="1"/>
  <c r="U112" i="4"/>
  <c r="U158" i="4" s="1"/>
  <c r="U108" i="4"/>
  <c r="U154" i="4" s="1"/>
  <c r="U119" i="4"/>
  <c r="U165" i="4" s="1"/>
  <c r="U109" i="4"/>
  <c r="U155" i="4" s="1"/>
  <c r="U107" i="4"/>
  <c r="U153" i="4" s="1"/>
  <c r="U118" i="4"/>
  <c r="U164" i="4" s="1"/>
  <c r="U114" i="4"/>
  <c r="U160" i="4" s="1"/>
  <c r="U117" i="4"/>
  <c r="U163" i="4" s="1"/>
  <c r="T116" i="4"/>
  <c r="T162" i="4" s="1"/>
  <c r="T108" i="4"/>
  <c r="T154" i="4" s="1"/>
  <c r="T109" i="4"/>
  <c r="T155" i="4" s="1"/>
  <c r="S109" i="4"/>
  <c r="S155" i="4" s="1"/>
  <c r="S107" i="4"/>
  <c r="S153" i="4" s="1"/>
  <c r="S103" i="4"/>
  <c r="S149" i="4" s="1"/>
  <c r="S108" i="4"/>
  <c r="S154" i="4" s="1"/>
  <c r="S116" i="4"/>
  <c r="S162" i="4" s="1"/>
  <c r="S104" i="4"/>
  <c r="S150" i="4" s="1"/>
  <c r="R119" i="4"/>
  <c r="R165" i="4" s="1"/>
  <c r="R102" i="4"/>
  <c r="R148" i="4" s="1"/>
  <c r="R114" i="4"/>
  <c r="R160" i="4" s="1"/>
  <c r="R107" i="4"/>
  <c r="R153" i="4" s="1"/>
  <c r="R108" i="4"/>
  <c r="R154" i="4" s="1"/>
  <c r="R120" i="4"/>
  <c r="R166" i="4" s="1"/>
  <c r="R113" i="4"/>
  <c r="R159" i="4" s="1"/>
  <c r="R103" i="4"/>
  <c r="R149" i="4" s="1"/>
  <c r="R118" i="4"/>
  <c r="R164" i="4" s="1"/>
  <c r="R116" i="4"/>
  <c r="R162" i="4" s="1"/>
  <c r="R104" i="4"/>
  <c r="R150" i="4" s="1"/>
  <c r="R105" i="4"/>
  <c r="R151" i="4" s="1"/>
  <c r="R109" i="4"/>
  <c r="R155" i="4" s="1"/>
  <c r="R115" i="4"/>
  <c r="R161" i="4" s="1"/>
  <c r="R106" i="4"/>
  <c r="R152" i="4" s="1"/>
  <c r="Q111" i="4"/>
  <c r="Q157" i="4" s="1"/>
  <c r="Q109" i="4"/>
  <c r="Q155" i="4" s="1"/>
  <c r="Q117" i="4"/>
  <c r="Q163" i="4" s="1"/>
  <c r="Q120" i="4"/>
  <c r="Q166" i="4" s="1"/>
  <c r="Q103" i="4"/>
  <c r="Q149" i="4" s="1"/>
  <c r="Q110" i="4"/>
  <c r="Q156" i="4" s="1"/>
  <c r="Q105" i="4"/>
  <c r="Q151" i="4" s="1"/>
  <c r="Q108" i="4"/>
  <c r="Q154" i="4" s="1"/>
  <c r="Q115" i="4"/>
  <c r="Q161" i="4" s="1"/>
  <c r="Q116" i="4"/>
  <c r="Q162" i="4" s="1"/>
  <c r="Q104" i="4"/>
  <c r="Q150" i="4" s="1"/>
  <c r="Q113" i="4"/>
  <c r="Q159" i="4" s="1"/>
  <c r="Q118" i="4"/>
  <c r="Q164" i="4" s="1"/>
  <c r="Q106" i="4"/>
  <c r="Q152" i="4" s="1"/>
  <c r="Q107" i="4"/>
  <c r="Q153" i="4" s="1"/>
  <c r="Q114" i="4"/>
  <c r="Q160" i="4" s="1"/>
  <c r="Q119" i="4"/>
  <c r="Q165" i="4" s="1"/>
  <c r="Q112" i="4"/>
  <c r="Q158" i="4" s="1"/>
  <c r="P116" i="4"/>
  <c r="P162" i="4" s="1"/>
  <c r="P104" i="4"/>
  <c r="P150" i="4" s="1"/>
  <c r="P103" i="4"/>
  <c r="P149" i="4" s="1"/>
  <c r="P108" i="4"/>
  <c r="P154" i="4" s="1"/>
  <c r="O116" i="4"/>
  <c r="O162" i="4" s="1"/>
  <c r="O107" i="4"/>
  <c r="O153" i="4" s="1"/>
  <c r="O108" i="4"/>
  <c r="O154" i="4" s="1"/>
  <c r="O103" i="4"/>
  <c r="O149" i="4" s="1"/>
  <c r="O109" i="4"/>
  <c r="O155" i="4" s="1"/>
  <c r="N120" i="4"/>
  <c r="N166" i="4" s="1"/>
  <c r="N105" i="4"/>
  <c r="N151" i="4" s="1"/>
  <c r="N114" i="4"/>
  <c r="N160" i="4" s="1"/>
  <c r="N116" i="4"/>
  <c r="N162" i="4" s="1"/>
  <c r="N115" i="4"/>
  <c r="N161" i="4" s="1"/>
  <c r="N106" i="4"/>
  <c r="N152" i="4" s="1"/>
  <c r="N119" i="4"/>
  <c r="N165" i="4" s="1"/>
  <c r="N103" i="4"/>
  <c r="N149" i="4" s="1"/>
  <c r="N108" i="4"/>
  <c r="N154" i="4" s="1"/>
  <c r="N107" i="4"/>
  <c r="N153" i="4" s="1"/>
  <c r="M106" i="4"/>
  <c r="M152" i="4" s="1"/>
  <c r="M105" i="4"/>
  <c r="M151" i="4" s="1"/>
  <c r="M103" i="4"/>
  <c r="M149" i="4" s="1"/>
  <c r="M119" i="4"/>
  <c r="M165" i="4" s="1"/>
  <c r="M116" i="4"/>
  <c r="M162" i="4" s="1"/>
  <c r="M115" i="4"/>
  <c r="M161" i="4" s="1"/>
  <c r="M114" i="4"/>
  <c r="M160" i="4" s="1"/>
  <c r="M113" i="4"/>
  <c r="M159" i="4" s="1"/>
  <c r="M104" i="4"/>
  <c r="M150" i="4" s="1"/>
  <c r="M109" i="4"/>
  <c r="M155" i="4" s="1"/>
  <c r="M108" i="4"/>
  <c r="M154" i="4" s="1"/>
  <c r="M107" i="4"/>
  <c r="M153" i="4" s="1"/>
  <c r="L120" i="4"/>
  <c r="L166" i="4" s="1"/>
  <c r="L106" i="4"/>
  <c r="L152" i="4" s="1"/>
  <c r="L115" i="4"/>
  <c r="L161" i="4" s="1"/>
  <c r="L104" i="4"/>
  <c r="L150" i="4" s="1"/>
  <c r="L108" i="4"/>
  <c r="L154" i="4" s="1"/>
  <c r="L113" i="4"/>
  <c r="L159" i="4" s="1"/>
  <c r="L105" i="4"/>
  <c r="L151" i="4" s="1"/>
  <c r="L116" i="4"/>
  <c r="L162" i="4" s="1"/>
  <c r="L107" i="4"/>
  <c r="L153" i="4" s="1"/>
  <c r="L114" i="4"/>
  <c r="L160" i="4" s="1"/>
  <c r="L118" i="4"/>
  <c r="L164" i="4" s="1"/>
  <c r="L103" i="4"/>
  <c r="L149" i="4" s="1"/>
  <c r="L119" i="4"/>
  <c r="L165" i="4" s="1"/>
  <c r="K106" i="4"/>
  <c r="K152" i="4" s="1"/>
  <c r="K120" i="4"/>
  <c r="K166" i="4" s="1"/>
  <c r="K114" i="4"/>
  <c r="K160" i="4" s="1"/>
  <c r="K109" i="4"/>
  <c r="K155" i="4" s="1"/>
  <c r="K116" i="4"/>
  <c r="K162" i="4" s="1"/>
  <c r="K113" i="4"/>
  <c r="K159" i="4" s="1"/>
  <c r="K108" i="4"/>
  <c r="K154" i="4" s="1"/>
  <c r="K105" i="4"/>
  <c r="K151" i="4" s="1"/>
  <c r="K107" i="4"/>
  <c r="K153" i="4" s="1"/>
  <c r="K112" i="4"/>
  <c r="K158" i="4" s="1"/>
  <c r="K104" i="4"/>
  <c r="K150" i="4" s="1"/>
  <c r="K115" i="4"/>
  <c r="K161" i="4" s="1"/>
  <c r="K119" i="4"/>
  <c r="K165" i="4" s="1"/>
  <c r="K118" i="4"/>
  <c r="K164" i="4" s="1"/>
  <c r="K103" i="4"/>
  <c r="K149" i="4" s="1"/>
  <c r="J107" i="4"/>
  <c r="J153" i="4" s="1"/>
  <c r="J110" i="4"/>
  <c r="J156" i="4" s="1"/>
  <c r="J104" i="4"/>
  <c r="J150" i="4" s="1"/>
  <c r="J111" i="4"/>
  <c r="J157" i="4" s="1"/>
  <c r="J116" i="4"/>
  <c r="J162" i="4" s="1"/>
  <c r="J106" i="4"/>
  <c r="J152" i="4" s="1"/>
  <c r="J115" i="4"/>
  <c r="J161" i="4" s="1"/>
  <c r="J108" i="4"/>
  <c r="J154" i="4" s="1"/>
  <c r="J109" i="4"/>
  <c r="J155" i="4" s="1"/>
  <c r="J112" i="4"/>
  <c r="J158" i="4" s="1"/>
  <c r="J114" i="4"/>
  <c r="J160" i="4" s="1"/>
  <c r="J103" i="4"/>
  <c r="J149" i="4" s="1"/>
  <c r="J105" i="4"/>
  <c r="J151" i="4" s="1"/>
  <c r="J113" i="4"/>
  <c r="J159" i="4" s="1"/>
  <c r="J119" i="4"/>
  <c r="J165" i="4" s="1"/>
  <c r="G108" i="4"/>
  <c r="G154" i="4" s="1"/>
  <c r="G116" i="4"/>
  <c r="G162" i="4" s="1"/>
  <c r="G107" i="4"/>
  <c r="G153" i="4" s="1"/>
  <c r="G103" i="4"/>
  <c r="G149" i="4" s="1"/>
  <c r="G109" i="4"/>
  <c r="G155" i="4" s="1"/>
  <c r="F116" i="4"/>
  <c r="F162" i="4" s="1"/>
  <c r="F104" i="4"/>
  <c r="F150" i="4" s="1"/>
  <c r="F108" i="4"/>
  <c r="F154" i="4" s="1"/>
  <c r="F109" i="4"/>
  <c r="F155" i="4" s="1"/>
  <c r="F103" i="4"/>
  <c r="F149" i="4" s="1"/>
  <c r="F107" i="4"/>
  <c r="F153" i="4" s="1"/>
  <c r="F120" i="4"/>
  <c r="F166" i="4" s="1"/>
  <c r="E108" i="4"/>
  <c r="E154" i="4" s="1"/>
  <c r="E106" i="4"/>
  <c r="E152" i="4" s="1"/>
  <c r="E115" i="4"/>
  <c r="E161" i="4" s="1"/>
  <c r="E120" i="4"/>
  <c r="E166" i="4" s="1"/>
  <c r="E109" i="4"/>
  <c r="E155" i="4" s="1"/>
  <c r="E103" i="4"/>
  <c r="E149" i="4" s="1"/>
  <c r="E107" i="4"/>
  <c r="E153" i="4" s="1"/>
  <c r="E119" i="4"/>
  <c r="E165" i="4" s="1"/>
  <c r="E116" i="4"/>
  <c r="E162" i="4" s="1"/>
  <c r="B111" i="4"/>
  <c r="B157" i="4" s="1"/>
  <c r="B116" i="4"/>
  <c r="B162" i="4" s="1"/>
  <c r="B108" i="4"/>
  <c r="B154" i="4" s="1"/>
  <c r="B112" i="4"/>
  <c r="B158" i="4" s="1"/>
  <c r="B110" i="4"/>
  <c r="B156" i="4" s="1"/>
  <c r="B104" i="4"/>
  <c r="B150" i="4" s="1"/>
  <c r="B115" i="4"/>
  <c r="B161" i="4" s="1"/>
  <c r="B109" i="4"/>
  <c r="B155" i="4" s="1"/>
  <c r="B105" i="4"/>
  <c r="B151" i="4" s="1"/>
  <c r="B117" i="4"/>
  <c r="B163" i="4" s="1"/>
  <c r="B107" i="4"/>
  <c r="B153" i="4" s="1"/>
  <c r="B106" i="4"/>
  <c r="B152" i="4" s="1"/>
  <c r="B114" i="4"/>
  <c r="B160" i="4" s="1"/>
  <c r="B113" i="4"/>
  <c r="B159" i="4" s="1"/>
  <c r="B103" i="4"/>
  <c r="B149" i="4" s="1"/>
  <c r="B119" i="4"/>
  <c r="B165" i="4" s="1"/>
  <c r="B118" i="4"/>
  <c r="B164" i="4" s="1"/>
  <c r="G26" i="3"/>
  <c r="B29" i="3" s="1"/>
  <c r="H6" i="3"/>
  <c r="B55" i="8" l="1"/>
  <c r="B49" i="8"/>
  <c r="B48" i="8"/>
  <c r="C30" i="6"/>
  <c r="B13" i="9"/>
  <c r="B17" i="9" s="1"/>
  <c r="U126" i="4"/>
  <c r="S126" i="4"/>
  <c r="Q126" i="4"/>
  <c r="P126" i="4"/>
  <c r="N126" i="4"/>
  <c r="L126" i="4"/>
  <c r="K126" i="4"/>
  <c r="I126" i="4"/>
  <c r="G126" i="4"/>
  <c r="E126" i="4"/>
  <c r="D126" i="4"/>
  <c r="B126" i="4"/>
  <c r="T126" i="4"/>
  <c r="R126" i="4"/>
  <c r="O126" i="4"/>
  <c r="M126" i="4"/>
  <c r="J126" i="4"/>
  <c r="H126" i="4"/>
  <c r="F126" i="4"/>
  <c r="C126" i="4"/>
  <c r="U127" i="4"/>
  <c r="S127" i="4"/>
  <c r="R127" i="4"/>
  <c r="O127" i="4"/>
  <c r="M127" i="4"/>
  <c r="K127" i="4"/>
  <c r="H127" i="4"/>
  <c r="F127" i="4"/>
  <c r="D127" i="4"/>
  <c r="B127" i="4"/>
  <c r="T127" i="4"/>
  <c r="Q127" i="4"/>
  <c r="P127" i="4"/>
  <c r="N127" i="4"/>
  <c r="L127" i="4"/>
  <c r="J127" i="4"/>
  <c r="I127" i="4"/>
  <c r="G127" i="4"/>
  <c r="E127" i="4"/>
  <c r="C127" i="4"/>
  <c r="U128" i="4"/>
  <c r="R128" i="4"/>
  <c r="P128" i="4"/>
  <c r="N128" i="4"/>
  <c r="L128" i="4"/>
  <c r="J128" i="4"/>
  <c r="H128" i="4"/>
  <c r="F128" i="4"/>
  <c r="D128" i="4"/>
  <c r="T128" i="4"/>
  <c r="S128" i="4"/>
  <c r="Q128" i="4"/>
  <c r="O128" i="4"/>
  <c r="M128" i="4"/>
  <c r="K128" i="4"/>
  <c r="I128" i="4"/>
  <c r="G128" i="4"/>
  <c r="E128" i="4"/>
  <c r="C128" i="4"/>
  <c r="B128" i="4"/>
  <c r="U125" i="4"/>
  <c r="E38" i="4" s="1"/>
  <c r="G38" i="4" s="1"/>
  <c r="T125" i="4"/>
  <c r="R125" i="4"/>
  <c r="Q125" i="4"/>
  <c r="O125" i="4"/>
  <c r="M125" i="4"/>
  <c r="K125" i="4"/>
  <c r="I125" i="4"/>
  <c r="G125" i="4"/>
  <c r="F125" i="4"/>
  <c r="D125" i="4"/>
  <c r="E35" i="4" s="1"/>
  <c r="B125" i="4"/>
  <c r="S125" i="4"/>
  <c r="P125" i="4"/>
  <c r="N125" i="4"/>
  <c r="L125" i="4"/>
  <c r="J125" i="4"/>
  <c r="H125" i="4"/>
  <c r="E125" i="4"/>
  <c r="E36" i="4" s="1"/>
  <c r="C125" i="4"/>
  <c r="E34" i="4" s="1"/>
  <c r="B40" i="4"/>
  <c r="U137" i="4"/>
  <c r="T137" i="4"/>
  <c r="S137" i="4"/>
  <c r="R137" i="4"/>
  <c r="Q137" i="4"/>
  <c r="P137" i="4"/>
  <c r="O137" i="4"/>
  <c r="N137" i="4"/>
  <c r="M137" i="4"/>
  <c r="L137" i="4"/>
  <c r="K137" i="4"/>
  <c r="J137" i="4"/>
  <c r="I137" i="4"/>
  <c r="H137" i="4"/>
  <c r="G137" i="4"/>
  <c r="F137" i="4"/>
  <c r="E137" i="4"/>
  <c r="D137" i="4"/>
  <c r="C137" i="4"/>
  <c r="B137" i="4"/>
  <c r="U139" i="4"/>
  <c r="T139" i="4"/>
  <c r="S139" i="4"/>
  <c r="R139" i="4"/>
  <c r="Q139" i="4"/>
  <c r="P139" i="4"/>
  <c r="O139" i="4"/>
  <c r="N139" i="4"/>
  <c r="M139" i="4"/>
  <c r="L139" i="4"/>
  <c r="K139" i="4"/>
  <c r="J139" i="4"/>
  <c r="I139" i="4"/>
  <c r="H139" i="4"/>
  <c r="G139" i="4"/>
  <c r="F139" i="4"/>
  <c r="E139" i="4"/>
  <c r="D139" i="4"/>
  <c r="C139" i="4"/>
  <c r="B139" i="4"/>
  <c r="U140" i="4"/>
  <c r="T140" i="4"/>
  <c r="S140" i="4"/>
  <c r="R140" i="4"/>
  <c r="Q140" i="4"/>
  <c r="P140" i="4"/>
  <c r="O140" i="4"/>
  <c r="N140" i="4"/>
  <c r="M140" i="4"/>
  <c r="L140" i="4"/>
  <c r="K140" i="4"/>
  <c r="J140" i="4"/>
  <c r="I140" i="4"/>
  <c r="H140" i="4"/>
  <c r="G140" i="4"/>
  <c r="F140" i="4"/>
  <c r="E140" i="4"/>
  <c r="D140" i="4"/>
  <c r="C140" i="4"/>
  <c r="B140" i="4"/>
  <c r="U143" i="4"/>
  <c r="T143" i="4"/>
  <c r="S143" i="4"/>
  <c r="R143" i="4"/>
  <c r="Q143" i="4"/>
  <c r="P143" i="4"/>
  <c r="O143" i="4"/>
  <c r="N143" i="4"/>
  <c r="M143" i="4"/>
  <c r="L143" i="4"/>
  <c r="K143" i="4"/>
  <c r="J143" i="4"/>
  <c r="I143" i="4"/>
  <c r="H143" i="4"/>
  <c r="G143" i="4"/>
  <c r="F143" i="4"/>
  <c r="E143" i="4"/>
  <c r="D143" i="4"/>
  <c r="C143" i="4"/>
  <c r="B143" i="4"/>
  <c r="T129" i="4"/>
  <c r="R129" i="4"/>
  <c r="P129" i="4"/>
  <c r="N129" i="4"/>
  <c r="L129" i="4"/>
  <c r="J129" i="4"/>
  <c r="H129" i="4"/>
  <c r="F129" i="4"/>
  <c r="C129" i="4"/>
  <c r="B129" i="4"/>
  <c r="U129" i="4"/>
  <c r="S129" i="4"/>
  <c r="Q129" i="4"/>
  <c r="O129" i="4"/>
  <c r="M129" i="4"/>
  <c r="K129" i="4"/>
  <c r="I129" i="4"/>
  <c r="G129" i="4"/>
  <c r="E129" i="4"/>
  <c r="D129" i="4"/>
  <c r="U130" i="4"/>
  <c r="S130" i="4"/>
  <c r="Q130" i="4"/>
  <c r="P130" i="4"/>
  <c r="N130" i="4"/>
  <c r="L130" i="4"/>
  <c r="J130" i="4"/>
  <c r="H130" i="4"/>
  <c r="F130" i="4"/>
  <c r="D130" i="4"/>
  <c r="B130" i="4"/>
  <c r="T130" i="4"/>
  <c r="R130" i="4"/>
  <c r="O130" i="4"/>
  <c r="M130" i="4"/>
  <c r="K130" i="4"/>
  <c r="I130" i="4"/>
  <c r="G130" i="4"/>
  <c r="E130" i="4"/>
  <c r="C130" i="4"/>
  <c r="U133" i="4"/>
  <c r="T133" i="4"/>
  <c r="S133" i="4"/>
  <c r="R133" i="4"/>
  <c r="Q133" i="4"/>
  <c r="P133" i="4"/>
  <c r="O133" i="4"/>
  <c r="N133" i="4"/>
  <c r="M133" i="4"/>
  <c r="L133" i="4"/>
  <c r="K133" i="4"/>
  <c r="J133" i="4"/>
  <c r="I133" i="4"/>
  <c r="H133" i="4"/>
  <c r="G133" i="4"/>
  <c r="F133" i="4"/>
  <c r="E133" i="4"/>
  <c r="D133" i="4"/>
  <c r="C133" i="4"/>
  <c r="B133" i="4"/>
  <c r="U136" i="4"/>
  <c r="T136" i="4"/>
  <c r="S136" i="4"/>
  <c r="R136" i="4"/>
  <c r="Q136" i="4"/>
  <c r="P136" i="4"/>
  <c r="O136" i="4"/>
  <c r="N136" i="4"/>
  <c r="M136" i="4"/>
  <c r="L136" i="4"/>
  <c r="K136" i="4"/>
  <c r="J136" i="4"/>
  <c r="I136" i="4"/>
  <c r="H136" i="4"/>
  <c r="G136" i="4"/>
  <c r="F136" i="4"/>
  <c r="E136" i="4"/>
  <c r="D136" i="4"/>
  <c r="C136" i="4"/>
  <c r="B136" i="4"/>
  <c r="U141" i="4"/>
  <c r="T141" i="4"/>
  <c r="S141" i="4"/>
  <c r="R141" i="4"/>
  <c r="Q141" i="4"/>
  <c r="P141" i="4"/>
  <c r="O141" i="4"/>
  <c r="N141" i="4"/>
  <c r="M141" i="4"/>
  <c r="L141" i="4"/>
  <c r="K141" i="4"/>
  <c r="J141" i="4"/>
  <c r="I141" i="4"/>
  <c r="H141" i="4"/>
  <c r="G141" i="4"/>
  <c r="F141" i="4"/>
  <c r="E141" i="4"/>
  <c r="D141" i="4"/>
  <c r="C141" i="4"/>
  <c r="B141" i="4"/>
  <c r="T131" i="4"/>
  <c r="R131" i="4"/>
  <c r="P131" i="4"/>
  <c r="N131" i="4"/>
  <c r="L131" i="4"/>
  <c r="K131" i="4"/>
  <c r="I131" i="4"/>
  <c r="G131" i="4"/>
  <c r="E131" i="4"/>
  <c r="D131" i="4"/>
  <c r="B131" i="4"/>
  <c r="U131" i="4"/>
  <c r="S131" i="4"/>
  <c r="Q131" i="4"/>
  <c r="O131" i="4"/>
  <c r="M131" i="4"/>
  <c r="J131" i="4"/>
  <c r="H131" i="4"/>
  <c r="F131" i="4"/>
  <c r="C131" i="4"/>
  <c r="U132" i="4"/>
  <c r="T132" i="4"/>
  <c r="S132" i="4"/>
  <c r="R132" i="4"/>
  <c r="P132" i="4"/>
  <c r="O132" i="4"/>
  <c r="N132" i="4"/>
  <c r="M132" i="4"/>
  <c r="K132" i="4"/>
  <c r="I132" i="4"/>
  <c r="G132" i="4"/>
  <c r="E132" i="4"/>
  <c r="C132" i="4"/>
  <c r="Q132" i="4"/>
  <c r="L132" i="4"/>
  <c r="J132" i="4"/>
  <c r="H132" i="4"/>
  <c r="F132" i="4"/>
  <c r="D132" i="4"/>
  <c r="B132" i="4"/>
  <c r="U134" i="4"/>
  <c r="T134" i="4"/>
  <c r="S134" i="4"/>
  <c r="R134" i="4"/>
  <c r="Q134" i="4"/>
  <c r="P134" i="4"/>
  <c r="O134" i="4"/>
  <c r="N134" i="4"/>
  <c r="M134" i="4"/>
  <c r="L134" i="4"/>
  <c r="K134" i="4"/>
  <c r="J134" i="4"/>
  <c r="I134" i="4"/>
  <c r="G134" i="4"/>
  <c r="F134" i="4"/>
  <c r="E134" i="4"/>
  <c r="D134" i="4"/>
  <c r="C134" i="4"/>
  <c r="B134" i="4"/>
  <c r="H134" i="4"/>
  <c r="U135" i="4"/>
  <c r="T135" i="4"/>
  <c r="S135" i="4"/>
  <c r="R135" i="4"/>
  <c r="Q135" i="4"/>
  <c r="P135" i="4"/>
  <c r="O135" i="4"/>
  <c r="N135" i="4"/>
  <c r="M135" i="4"/>
  <c r="L135" i="4"/>
  <c r="K135" i="4"/>
  <c r="J135" i="4"/>
  <c r="I135" i="4"/>
  <c r="H135" i="4"/>
  <c r="G135" i="4"/>
  <c r="F135" i="4"/>
  <c r="E135" i="4"/>
  <c r="D135" i="4"/>
  <c r="C135" i="4"/>
  <c r="B135" i="4"/>
  <c r="U138" i="4"/>
  <c r="T138" i="4"/>
  <c r="S138" i="4"/>
  <c r="R138" i="4"/>
  <c r="Q138" i="4"/>
  <c r="P138" i="4"/>
  <c r="O138" i="4"/>
  <c r="N138" i="4"/>
  <c r="M138" i="4"/>
  <c r="L138" i="4"/>
  <c r="K138" i="4"/>
  <c r="J138" i="4"/>
  <c r="I138" i="4"/>
  <c r="H138" i="4"/>
  <c r="G138" i="4"/>
  <c r="F138" i="4"/>
  <c r="E138" i="4"/>
  <c r="D138" i="4"/>
  <c r="C138" i="4"/>
  <c r="B138" i="4"/>
  <c r="U142" i="4"/>
  <c r="T142" i="4"/>
  <c r="S142" i="4"/>
  <c r="R142" i="4"/>
  <c r="Q142" i="4"/>
  <c r="P142" i="4"/>
  <c r="O142" i="4"/>
  <c r="N142" i="4"/>
  <c r="M142" i="4"/>
  <c r="L142" i="4"/>
  <c r="K142" i="4"/>
  <c r="J142" i="4"/>
  <c r="I142" i="4"/>
  <c r="H142" i="4"/>
  <c r="G142" i="4"/>
  <c r="F142" i="4"/>
  <c r="E142" i="4"/>
  <c r="D142" i="4"/>
  <c r="C142" i="4"/>
  <c r="B142" i="4"/>
  <c r="U144" i="4"/>
  <c r="T144" i="4"/>
  <c r="S144" i="4"/>
  <c r="R144" i="4"/>
  <c r="Q144" i="4"/>
  <c r="P144" i="4"/>
  <c r="O144" i="4"/>
  <c r="N144" i="4"/>
  <c r="M144" i="4"/>
  <c r="L144" i="4"/>
  <c r="K144" i="4"/>
  <c r="J144" i="4"/>
  <c r="I144" i="4"/>
  <c r="H144" i="4"/>
  <c r="G144" i="4"/>
  <c r="F144" i="4"/>
  <c r="E144" i="4"/>
  <c r="D144" i="4"/>
  <c r="C144" i="4"/>
  <c r="B144" i="4"/>
  <c r="B6" i="14"/>
  <c r="B30" i="3"/>
  <c r="B32" i="3" s="1"/>
  <c r="B37" i="8"/>
  <c r="B38" i="8" s="1"/>
  <c r="U148" i="4"/>
  <c r="Y148" i="4" s="1" a="1"/>
  <c r="D36" i="4"/>
  <c r="F36" i="4" s="1"/>
  <c r="C35" i="4"/>
  <c r="C34" i="4"/>
  <c r="D35" i="4"/>
  <c r="F35" i="4" s="1"/>
  <c r="D38" i="4"/>
  <c r="F38" i="4" s="1"/>
  <c r="C36" i="4"/>
  <c r="C37" i="4"/>
  <c r="D37" i="4"/>
  <c r="F37" i="4" s="1"/>
  <c r="D34" i="4"/>
  <c r="F34" i="4" s="1"/>
  <c r="B20" i="9" l="1"/>
  <c r="B21" i="9" s="1"/>
  <c r="B17" i="14"/>
  <c r="B44" i="14"/>
  <c r="B40" i="8"/>
  <c r="Y148" i="4"/>
  <c r="Y168" i="4"/>
  <c r="B69" i="4" s="1"/>
  <c r="Y167" i="4"/>
  <c r="Y166" i="4"/>
  <c r="Y165" i="4"/>
  <c r="Y164" i="4"/>
  <c r="Y163" i="4"/>
  <c r="Y162" i="4"/>
  <c r="Y161" i="4"/>
  <c r="Y160" i="4"/>
  <c r="Y159" i="4"/>
  <c r="Y158" i="4"/>
  <c r="Y157" i="4"/>
  <c r="Y156" i="4"/>
  <c r="Y155" i="4"/>
  <c r="Y154" i="4"/>
  <c r="Y153" i="4"/>
  <c r="Y152" i="4"/>
  <c r="Y151" i="4"/>
  <c r="Y150" i="4"/>
  <c r="Y149" i="4"/>
  <c r="C39" i="4"/>
  <c r="G34" i="4"/>
  <c r="E37" i="4"/>
  <c r="G37" i="4" s="1"/>
  <c r="G35" i="4"/>
  <c r="G36" i="4"/>
  <c r="B56" i="8"/>
  <c r="B51" i="8"/>
  <c r="B18" i="14" l="1"/>
  <c r="B28" i="11"/>
  <c r="I25" i="3"/>
  <c r="C25" i="5" s="1"/>
  <c r="I24" i="3"/>
  <c r="C24" i="5" s="1"/>
  <c r="I23" i="3"/>
  <c r="C23" i="5" s="1"/>
  <c r="I22" i="3"/>
  <c r="C22" i="5" s="1"/>
  <c r="I18" i="3"/>
  <c r="C18" i="5" s="1"/>
  <c r="I15" i="3"/>
  <c r="C15" i="5" s="1"/>
  <c r="I10" i="3"/>
  <c r="C10" i="5" s="1"/>
  <c r="I21" i="3"/>
  <c r="C21" i="5" s="1"/>
  <c r="I17" i="3"/>
  <c r="C17" i="5" s="1"/>
  <c r="I13" i="3"/>
  <c r="C13" i="5" s="1"/>
  <c r="I7" i="3"/>
  <c r="C7" i="5" s="1"/>
  <c r="I20" i="3"/>
  <c r="C20" i="5" s="1"/>
  <c r="I16" i="3"/>
  <c r="C16" i="5" s="1"/>
  <c r="I11" i="3"/>
  <c r="C11" i="5" s="1"/>
  <c r="I8" i="3"/>
  <c r="C8" i="5" s="1"/>
  <c r="I19" i="3"/>
  <c r="C19" i="5" s="1"/>
  <c r="I14" i="3"/>
  <c r="C14" i="5" s="1"/>
  <c r="I12" i="3"/>
  <c r="C12" i="5" s="1"/>
  <c r="I9" i="3"/>
  <c r="C9" i="5" s="1"/>
  <c r="I6" i="3"/>
  <c r="B73" i="4"/>
  <c r="B80" i="4"/>
  <c r="B84" i="4" s="1"/>
  <c r="B70" i="4"/>
  <c r="B68" i="4"/>
  <c r="B74" i="4"/>
  <c r="B75" i="4" s="1"/>
  <c r="B76" i="4" s="1"/>
  <c r="G39" i="4"/>
  <c r="B42" i="4" s="1"/>
  <c r="B31" i="11" l="1"/>
  <c r="H25" i="5"/>
  <c r="F25" i="5"/>
  <c r="I25" i="5"/>
  <c r="G25" i="5"/>
  <c r="F24" i="5"/>
  <c r="I24" i="5"/>
  <c r="H24" i="5"/>
  <c r="G24" i="5"/>
  <c r="H23" i="5"/>
  <c r="F23" i="5"/>
  <c r="I23" i="5"/>
  <c r="G23" i="5"/>
  <c r="I22" i="5"/>
  <c r="G22" i="5"/>
  <c r="F22" i="5"/>
  <c r="H22" i="5"/>
  <c r="I18" i="5"/>
  <c r="H18" i="5"/>
  <c r="G18" i="5"/>
  <c r="F18" i="5"/>
  <c r="I15" i="5"/>
  <c r="H15" i="5"/>
  <c r="G15" i="5"/>
  <c r="F15" i="5"/>
  <c r="J15" i="5" s="1"/>
  <c r="I10" i="5"/>
  <c r="H10" i="5"/>
  <c r="G10" i="5"/>
  <c r="F10" i="5"/>
  <c r="J10" i="5" s="1"/>
  <c r="F21" i="5"/>
  <c r="H21" i="5"/>
  <c r="I21" i="5"/>
  <c r="G21" i="5"/>
  <c r="F17" i="5"/>
  <c r="G17" i="5"/>
  <c r="H17" i="5"/>
  <c r="I17" i="5"/>
  <c r="F13" i="5"/>
  <c r="G13" i="5"/>
  <c r="H13" i="5"/>
  <c r="I13" i="5"/>
  <c r="F7" i="5"/>
  <c r="G7" i="5"/>
  <c r="I7" i="5"/>
  <c r="G20" i="5"/>
  <c r="H20" i="5"/>
  <c r="F20" i="5"/>
  <c r="I20" i="5"/>
  <c r="F16" i="5"/>
  <c r="G16" i="5"/>
  <c r="H16" i="5"/>
  <c r="I16" i="5"/>
  <c r="G11" i="5"/>
  <c r="H11" i="5"/>
  <c r="I11" i="5"/>
  <c r="F8" i="5"/>
  <c r="G8" i="5"/>
  <c r="H8" i="5"/>
  <c r="I8" i="5"/>
  <c r="F19" i="5"/>
  <c r="G19" i="5"/>
  <c r="H19" i="5"/>
  <c r="I19" i="5"/>
  <c r="F14" i="5"/>
  <c r="G14" i="5"/>
  <c r="H14" i="5"/>
  <c r="I14" i="5"/>
  <c r="F12" i="5"/>
  <c r="G12" i="5"/>
  <c r="H12" i="5"/>
  <c r="I12" i="5"/>
  <c r="F9" i="5"/>
  <c r="G9" i="5"/>
  <c r="H9" i="5"/>
  <c r="I9" i="5"/>
  <c r="B35" i="3"/>
  <c r="B9" i="14" s="1"/>
  <c r="B36" i="3"/>
  <c r="C6" i="5"/>
  <c r="B37" i="3"/>
  <c r="B31" i="5" s="1"/>
  <c r="I26" i="3"/>
  <c r="B27" i="14"/>
  <c r="B83" i="4"/>
  <c r="B81" i="4"/>
  <c r="B82" i="4"/>
  <c r="B77" i="4"/>
  <c r="B29" i="14" s="1"/>
  <c r="B28" i="14"/>
  <c r="J18" i="5" l="1"/>
  <c r="K18" i="5"/>
  <c r="L18" i="5"/>
  <c r="K15" i="5"/>
  <c r="L15" i="5"/>
  <c r="K10" i="5"/>
  <c r="L10" i="5"/>
  <c r="B39" i="3"/>
  <c r="B35" i="5"/>
  <c r="F6" i="5"/>
  <c r="G6" i="5"/>
  <c r="H6" i="5"/>
  <c r="I6" i="5"/>
  <c r="B72" i="5"/>
  <c r="B73" i="5" s="1"/>
  <c r="C26" i="5"/>
  <c r="B36" i="5"/>
  <c r="J25" i="5"/>
  <c r="J24" i="5"/>
  <c r="J22" i="5"/>
  <c r="J17" i="5"/>
  <c r="J13" i="5"/>
  <c r="J23" i="5"/>
  <c r="J21" i="5"/>
  <c r="J14" i="5"/>
  <c r="J9" i="5"/>
  <c r="J20" i="5"/>
  <c r="J16" i="5"/>
  <c r="J8" i="5"/>
  <c r="J19" i="5"/>
  <c r="J12" i="5"/>
  <c r="H7" i="5"/>
  <c r="J7" i="5" s="1"/>
  <c r="F11" i="5"/>
  <c r="J11" i="5" s="1"/>
  <c r="B5" i="10" l="1"/>
  <c r="B6" i="11"/>
  <c r="B7" i="11" s="1"/>
  <c r="B7" i="14"/>
  <c r="B40" i="3"/>
  <c r="L25" i="5"/>
  <c r="K25" i="5"/>
  <c r="L24" i="5"/>
  <c r="K24" i="5"/>
  <c r="L22" i="5"/>
  <c r="K22" i="5"/>
  <c r="L17" i="5"/>
  <c r="K17" i="5"/>
  <c r="L13" i="5"/>
  <c r="K13" i="5"/>
  <c r="K23" i="5"/>
  <c r="L23" i="5"/>
  <c r="K21" i="5"/>
  <c r="L21" i="5"/>
  <c r="L14" i="5"/>
  <c r="K14" i="5"/>
  <c r="L9" i="5"/>
  <c r="K9" i="5"/>
  <c r="L20" i="5"/>
  <c r="K20" i="5"/>
  <c r="L16" i="5"/>
  <c r="K16" i="5"/>
  <c r="L8" i="5"/>
  <c r="K8" i="5"/>
  <c r="K19" i="5"/>
  <c r="L19" i="5"/>
  <c r="L12" i="5"/>
  <c r="K12" i="5"/>
  <c r="L7" i="5"/>
  <c r="K7" i="5"/>
  <c r="L11" i="5"/>
  <c r="K11" i="5"/>
  <c r="J6" i="5"/>
  <c r="C5" i="10" l="1"/>
  <c r="D5" i="10" s="1"/>
  <c r="B6" i="10" s="1"/>
  <c r="B8" i="11"/>
  <c r="B9" i="11"/>
  <c r="B10" i="11"/>
  <c r="B14" i="11" s="1"/>
  <c r="C19" i="11"/>
  <c r="B32" i="9"/>
  <c r="B12" i="11"/>
  <c r="B19" i="11" s="1"/>
  <c r="B17" i="12"/>
  <c r="B11" i="14"/>
  <c r="J26" i="5"/>
  <c r="L6" i="5"/>
  <c r="L26" i="5" s="1"/>
  <c r="K6" i="5"/>
  <c r="K26" i="5" s="1"/>
  <c r="E5" i="10" l="1"/>
  <c r="B25" i="12"/>
  <c r="C6" i="10"/>
  <c r="B13" i="11"/>
  <c r="B38" i="14" s="1"/>
  <c r="C18" i="11"/>
  <c r="B37" i="14"/>
  <c r="I25" i="12"/>
  <c r="J25" i="12"/>
  <c r="I26" i="12"/>
  <c r="J26" i="12"/>
  <c r="I27" i="12"/>
  <c r="J27" i="12"/>
  <c r="F29" i="12"/>
  <c r="G29" i="12"/>
  <c r="I29" i="12"/>
  <c r="J29" i="12"/>
  <c r="F30" i="12"/>
  <c r="H30" i="12" s="1"/>
  <c r="G30" i="12"/>
  <c r="I30" i="12"/>
  <c r="J30" i="12"/>
  <c r="F31" i="12"/>
  <c r="G31" i="12"/>
  <c r="I31" i="12"/>
  <c r="J31" i="12"/>
  <c r="F32" i="12"/>
  <c r="G32" i="12"/>
  <c r="I32" i="12"/>
  <c r="J32" i="12"/>
  <c r="F33" i="12"/>
  <c r="G33" i="12"/>
  <c r="I33" i="12"/>
  <c r="J33" i="12"/>
  <c r="F34" i="12"/>
  <c r="G34" i="12"/>
  <c r="I34" i="12"/>
  <c r="J34" i="12"/>
  <c r="B32" i="5"/>
  <c r="B43" i="5"/>
  <c r="B42" i="5"/>
  <c r="C25" i="12" l="1"/>
  <c r="E6" i="10"/>
  <c r="B26" i="12"/>
  <c r="B34" i="5"/>
  <c r="B37" i="5" s="1"/>
  <c r="B32" i="14"/>
  <c r="B67" i="5"/>
  <c r="B31" i="14"/>
  <c r="B48" i="5"/>
  <c r="B51" i="5" s="1"/>
  <c r="B58" i="5"/>
  <c r="C58" i="5" s="1"/>
  <c r="D58" i="5" s="1"/>
  <c r="E61" i="5"/>
  <c r="E62" i="5"/>
  <c r="E64" i="5"/>
  <c r="B49" i="5"/>
  <c r="B62" i="5" s="1"/>
  <c r="C62" i="5" s="1"/>
  <c r="D62" i="5" s="1"/>
  <c r="E58" i="5"/>
  <c r="B59" i="5"/>
  <c r="C59" i="5" s="1"/>
  <c r="D59" i="5" s="1"/>
  <c r="E59" i="5"/>
  <c r="E60" i="5"/>
  <c r="E63" i="5"/>
  <c r="E65" i="5"/>
  <c r="H29" i="12"/>
  <c r="H31" i="12"/>
  <c r="H32" i="12"/>
  <c r="H33" i="12"/>
  <c r="H34" i="12"/>
  <c r="D6" i="10"/>
  <c r="B7" i="10" s="1"/>
  <c r="C26" i="12" l="1"/>
  <c r="B38" i="3"/>
  <c r="B38" i="5"/>
  <c r="B33" i="14"/>
  <c r="B29" i="11"/>
  <c r="B30" i="11" s="1"/>
  <c r="C7" i="10"/>
  <c r="D7" i="10" s="1"/>
  <c r="B8" i="10" s="1"/>
  <c r="B50" i="5"/>
  <c r="B52" i="5" s="1"/>
  <c r="B60" i="5"/>
  <c r="C60" i="5" s="1"/>
  <c r="D60" i="5" s="1"/>
  <c r="B66" i="5" s="1"/>
  <c r="B61" i="5"/>
  <c r="C61" i="5" s="1"/>
  <c r="D61" i="5" s="1"/>
  <c r="B63" i="5"/>
  <c r="C63" i="5" s="1"/>
  <c r="D63" i="5" s="1"/>
  <c r="B64" i="5"/>
  <c r="C64" i="5" s="1"/>
  <c r="D64" i="5" s="1"/>
  <c r="B65" i="5"/>
  <c r="C65" i="5" s="1"/>
  <c r="D65" i="5" s="1"/>
  <c r="B22" i="9" l="1"/>
  <c r="B10" i="14"/>
  <c r="B27" i="6"/>
  <c r="B39" i="14"/>
  <c r="B32" i="11"/>
  <c r="C8" i="10"/>
  <c r="D8" i="10"/>
  <c r="B9" i="10" s="1"/>
  <c r="E7" i="10"/>
  <c r="B27" i="12"/>
  <c r="B34" i="14"/>
  <c r="B54" i="5"/>
  <c r="B35" i="14" s="1"/>
  <c r="B25" i="9" l="1"/>
  <c r="F8" i="10" s="1"/>
  <c r="B14" i="12"/>
  <c r="B23" i="9"/>
  <c r="B24" i="14" s="1"/>
  <c r="B28" i="6"/>
  <c r="B38" i="11"/>
  <c r="B39" i="11" s="1"/>
  <c r="B33" i="11"/>
  <c r="B40" i="14"/>
  <c r="E8" i="10"/>
  <c r="B28" i="12"/>
  <c r="C9" i="10"/>
  <c r="D9" i="10" s="1"/>
  <c r="B10" i="10" s="1"/>
  <c r="C27" i="12"/>
  <c r="B56" i="14"/>
  <c r="F7" i="10" l="1"/>
  <c r="G7" i="10" s="1"/>
  <c r="I7" i="10" s="1"/>
  <c r="F6" i="10"/>
  <c r="G6" i="10" s="1"/>
  <c r="I6" i="10" s="1"/>
  <c r="F5" i="10"/>
  <c r="B19" i="14"/>
  <c r="B15" i="12"/>
  <c r="B16" i="12" s="1"/>
  <c r="D28" i="12" s="1"/>
  <c r="B30" i="9"/>
  <c r="B31" i="9" s="1"/>
  <c r="B22" i="14" s="1"/>
  <c r="B26" i="9"/>
  <c r="B29" i="6"/>
  <c r="B30" i="6"/>
  <c r="B40" i="11"/>
  <c r="C28" i="12"/>
  <c r="E9" i="10"/>
  <c r="F9" i="10"/>
  <c r="B29" i="12"/>
  <c r="C10" i="10"/>
  <c r="D10" i="10" s="1"/>
  <c r="B11" i="10" s="1"/>
  <c r="G8" i="10"/>
  <c r="I8" i="10" s="1"/>
  <c r="G5" i="10" l="1"/>
  <c r="D27" i="12"/>
  <c r="E27" i="12" s="1"/>
  <c r="D26" i="12"/>
  <c r="E26" i="12" s="1"/>
  <c r="D25" i="12"/>
  <c r="B27" i="9"/>
  <c r="B21" i="14"/>
  <c r="B31" i="6"/>
  <c r="B33" i="6" s="1"/>
  <c r="B20" i="11"/>
  <c r="B32" i="6"/>
  <c r="B34" i="6"/>
  <c r="B22" i="11"/>
  <c r="G9" i="10"/>
  <c r="I9" i="10" s="1"/>
  <c r="C29" i="12"/>
  <c r="D29" i="12"/>
  <c r="E10" i="10"/>
  <c r="F10" i="10"/>
  <c r="B30" i="12"/>
  <c r="C11" i="10"/>
  <c r="D11" i="10" s="1"/>
  <c r="B12" i="10" s="1"/>
  <c r="E28" i="12"/>
  <c r="I5" i="10" l="1"/>
  <c r="N26" i="12"/>
  <c r="E25" i="12"/>
  <c r="B6" i="12"/>
  <c r="B13" i="14"/>
  <c r="C20" i="11"/>
  <c r="C21" i="11" s="1"/>
  <c r="B21" i="11"/>
  <c r="B35" i="6"/>
  <c r="B7" i="12"/>
  <c r="B14" i="14"/>
  <c r="C22" i="11"/>
  <c r="C23" i="11" s="1"/>
  <c r="B23" i="11"/>
  <c r="E29" i="12"/>
  <c r="C30" i="12"/>
  <c r="D30" i="12"/>
  <c r="E11" i="10"/>
  <c r="F11" i="10"/>
  <c r="B31" i="12"/>
  <c r="C12" i="10"/>
  <c r="D12" i="10"/>
  <c r="B13" i="10" s="1"/>
  <c r="G10" i="10"/>
  <c r="I10" i="10" s="1"/>
  <c r="N27" i="12"/>
  <c r="E30" i="12" l="1"/>
  <c r="G11" i="10"/>
  <c r="N25" i="12"/>
  <c r="K29" i="12"/>
  <c r="L29" i="12" s="1"/>
  <c r="N29" i="12"/>
  <c r="O29" i="12"/>
  <c r="Q29" i="12" s="1"/>
  <c r="C31" i="12"/>
  <c r="D31" i="12"/>
  <c r="E12" i="10"/>
  <c r="F12" i="10"/>
  <c r="B32" i="12"/>
  <c r="C13" i="10"/>
  <c r="D13" i="10"/>
  <c r="B14" i="10" s="1"/>
  <c r="B24" i="11"/>
  <c r="B10" i="12"/>
  <c r="C24" i="11"/>
  <c r="I11" i="10"/>
  <c r="G12" i="10" l="1"/>
  <c r="I12" i="10" s="1"/>
  <c r="K30" i="12"/>
  <c r="L30" i="12" s="1"/>
  <c r="O30" i="12" s="1"/>
  <c r="Q30" i="12" s="1"/>
  <c r="N30" i="12"/>
  <c r="C32" i="12"/>
  <c r="D32" i="12"/>
  <c r="E13" i="10"/>
  <c r="F13" i="10"/>
  <c r="B33" i="12"/>
  <c r="C14" i="10"/>
  <c r="D14" i="10"/>
  <c r="B12" i="12"/>
  <c r="F25" i="12"/>
  <c r="G25" i="12"/>
  <c r="E31" i="12"/>
  <c r="C33" i="12" l="1"/>
  <c r="D33" i="12"/>
  <c r="C15" i="10"/>
  <c r="E14" i="10"/>
  <c r="F14" i="10"/>
  <c r="F15" i="10" s="1"/>
  <c r="B34" i="12"/>
  <c r="M24" i="12"/>
  <c r="B52" i="14"/>
  <c r="K25" i="12"/>
  <c r="N31" i="12"/>
  <c r="K31" i="12"/>
  <c r="L31" i="12" s="1"/>
  <c r="O31" i="12" s="1"/>
  <c r="Q31" i="12" s="1"/>
  <c r="E32" i="12"/>
  <c r="G13" i="10"/>
  <c r="H25" i="12"/>
  <c r="F26" i="12" s="1"/>
  <c r="E15" i="10" l="1"/>
  <c r="G14" i="10"/>
  <c r="I14" i="10" s="1"/>
  <c r="B35" i="12"/>
  <c r="C34" i="12"/>
  <c r="D34" i="12"/>
  <c r="D35" i="12" s="1"/>
  <c r="N24" i="12"/>
  <c r="O24" i="12"/>
  <c r="M35" i="12"/>
  <c r="L25" i="12"/>
  <c r="N32" i="12"/>
  <c r="K32" i="12"/>
  <c r="L32" i="12" s="1"/>
  <c r="O32" i="12" s="1"/>
  <c r="Q32" i="12" s="1"/>
  <c r="G15" i="10"/>
  <c r="I13" i="10"/>
  <c r="I15" i="10" s="1"/>
  <c r="B17" i="10" s="1"/>
  <c r="B19" i="10" s="1"/>
  <c r="G26" i="12"/>
  <c r="H26" i="12"/>
  <c r="F27" i="12" s="1"/>
  <c r="E33" i="12"/>
  <c r="C35" i="12" l="1"/>
  <c r="E34" i="12"/>
  <c r="E35" i="12" s="1"/>
  <c r="Q24" i="12"/>
  <c r="R24" i="12"/>
  <c r="O25" i="12"/>
  <c r="B34" i="9"/>
  <c r="B23" i="14" s="1"/>
  <c r="B43" i="12"/>
  <c r="K26" i="12"/>
  <c r="G27" i="12"/>
  <c r="H27" i="12" s="1"/>
  <c r="F28" i="12" s="1"/>
  <c r="N33" i="12"/>
  <c r="K33" i="12"/>
  <c r="L33" i="12" s="1"/>
  <c r="O33" i="12" s="1"/>
  <c r="Q33" i="12" s="1"/>
  <c r="K34" i="12" l="1"/>
  <c r="L34" i="12" s="1"/>
  <c r="O34" i="12" s="1"/>
  <c r="Q34" i="12" s="1"/>
  <c r="N34" i="12"/>
  <c r="R25" i="12"/>
  <c r="S25" i="12"/>
  <c r="L26" i="12"/>
  <c r="G28" i="12"/>
  <c r="Q25" i="12"/>
  <c r="K27" i="12"/>
  <c r="L27" i="12" s="1"/>
  <c r="O27" i="12" s="1"/>
  <c r="Q27" i="12" s="1"/>
  <c r="H28" i="12" l="1"/>
  <c r="B49" i="12"/>
  <c r="R26" i="12"/>
  <c r="S26" i="12" s="1"/>
  <c r="O26" i="12"/>
  <c r="G35" i="12"/>
  <c r="I28" i="12"/>
  <c r="J28" i="12" s="1"/>
  <c r="R27" i="12" l="1"/>
  <c r="S27" i="12" s="1"/>
  <c r="Q26" i="12"/>
  <c r="N28" i="12"/>
  <c r="I35" i="12"/>
  <c r="K28" i="12"/>
  <c r="J35" i="12"/>
  <c r="B45" i="12" l="1"/>
  <c r="B42" i="12"/>
  <c r="N35" i="12"/>
  <c r="L28" i="12"/>
  <c r="K35" i="12"/>
  <c r="L35" i="12" l="1"/>
  <c r="B48" i="12" s="1"/>
  <c r="O28" i="12"/>
  <c r="R28" i="12" l="1"/>
  <c r="O35" i="12"/>
  <c r="B44" i="12"/>
  <c r="B54" i="14" s="1"/>
  <c r="B41" i="12"/>
  <c r="Q28" i="12"/>
  <c r="R29" i="12" l="1"/>
  <c r="S29" i="12" s="1"/>
  <c r="S28" i="12"/>
  <c r="B47" i="12"/>
  <c r="Q35" i="12"/>
  <c r="B40" i="12"/>
  <c r="B53" i="14" s="1"/>
  <c r="R30" i="12" l="1"/>
  <c r="S30" i="12" s="1"/>
  <c r="R31" i="12" l="1"/>
  <c r="S31" i="12"/>
  <c r="R32" i="12" l="1"/>
  <c r="S32" i="12" s="1"/>
  <c r="R33" i="12" l="1"/>
  <c r="S33" i="12" s="1"/>
  <c r="R34" i="12" l="1"/>
  <c r="S34" i="12" s="1"/>
  <c r="B46" i="12" s="1"/>
  <c r="B55" i="14" s="1"/>
</calcChain>
</file>

<file path=xl/sharedStrings.xml><?xml version="1.0" encoding="utf-8"?>
<sst xmlns="http://schemas.openxmlformats.org/spreadsheetml/2006/main" count="1350" uniqueCount="954">
  <si>
    <t>Opencast Pit Planning &amp; Economics Study — advanced workbook</t>
  </si>
  <si>
    <t>Built so you can see exactly how every number is calculated. Change the yellow cells and everything else recalculates.</t>
  </si>
  <si>
    <t>IMPORTANT — about the numbers</t>
  </si>
  <si>
    <t>All values here are made-up SAMPLE values chosen for demonstration (typical ranges, not data from any real mine). Replace them with figures from your textbook problem, published reports or your own measurements. Do not use confidential mine data without permission. Add this project to your resume only after you can explain every sheet.</t>
  </si>
  <si>
    <t>What question does each sheet answer?</t>
  </si>
  <si>
    <t>•  Inputs — all assumptions in one place: block size, densities, machine specs, costs, coal price, and the settings for the advanced sheets.</t>
  </si>
  <si>
    <t>•  Reserve — how much coal and overburden is in the pit, and which blocks are worth mining (block / borehole-grid method).</t>
  </si>
  <si>
    <t>•  Geostatistics — how continuous the seam is (semivariogram) and the kriged thickness, with a 95 % confidence interval, at any point.</t>
  </si>
  <si>
    <t>•  Pit design — bench and overall slope geometry, the extra wall rock (slope wedge) added to the stripping ratio, and the planar-failure factor of safety.</t>
  </si>
  <si>
    <t>•  Fleet — how many excavators and dumpers are needed to reach the production target.</t>
  </si>
  <si>
    <t>•  Safety — blast ground vibration against DGMS limits, and the stopping distance of a loaded dumper on the ramp.</t>
  </si>
  <si>
    <t>•  Quality and royalty — washability (float-and-sink) yield, whether washing pays, and the statutory levies: royalty, DMF and NMET.</t>
  </si>
  <si>
    <t>•  Economics — cost of removing overburden and winning coal, and the break-even stripping ratio.</t>
  </si>
  <si>
    <t>•  Cash flow — year-by-year profit and net present value (NPV) over the mine life, before tax.</t>
  </si>
  <si>
    <t>•  Mine planning — Taylor's rule for mine life and production rate, the effective cut-off stripping ratio, and daily material movement.</t>
  </si>
  <si>
    <t>•  Finance — depreciation, tax, post-tax NPV, IRR and payback with equipment capital shown explicitly.</t>
  </si>
  <si>
    <t>•  Sensitivity — which assumption moves the NPV the most (tornado chart).</t>
  </si>
  <si>
    <t>•  Summary — all key results on one page, plus questions to practise for your viva or interview.</t>
  </si>
  <si>
    <t>How to work through it (in this order)</t>
  </si>
  <si>
    <t>Step 1, Inputs: read every yellow cell with its unit and note. Ask yourself where you would find that number in real life.</t>
  </si>
  <si>
    <t>Step 2, Reserve: block volume = block area × thickness. Coal tonnes = coal volume × relative density. Stripping ratio = overburden volume ÷ coal tonnes. Do block A1 by hand with a calculator and match the sheet.</t>
  </si>
  <si>
    <t>Step 3, Fleet: excavator output = payload per pass × passes per hour. Dumper output = payload per trip × trips per hour, where one trip = load + haul + return + spot and dump. Machines needed = hours required ÷ hours one machine can work.</t>
  </si>
  <si>
    <t>Step 4, Economics: break-even stripping ratio = (price − coal winning cost) ÷ overburden removal cost. If a block's stripping ratio is above it, mining that block loses money.</t>
  </si>
  <si>
    <t>Step 5, Cash flow: profit each year, discounted to today's value. NPV = sum of discounted profits − capital cost.</t>
  </si>
  <si>
    <t>Step 6, Geostatistics: tune the nugget, sill and range until the model line follows the experimental points, then read the kriged thickness and its 95 % confidence interval at the target point.</t>
  </si>
  <si>
    <t>Step 7, Pit design: bench height, face angle and berm width give the overall slope. Check the factor of safety, then see how much wall rock is added to the stripping ratio.</t>
  </si>
  <si>
    <t>Step 8, Quality and royalty, Safety and Mine planning: washing yield and revenue, statutory levies, blast vibration and stopping distance, and Taylor's rule for the production rate.</t>
  </si>
  <si>
    <t>Step 9, Finance and Sensitivity: depreciation, tax, post-tax NPV, IRR and payback; then find which assumption moves the NPV most.</t>
  </si>
  <si>
    <t>Model switches (Inputs section 6)</t>
  </si>
  <si>
    <t>Pit-slope wedge: 1 adds wall rock to the stripping ratio. Statutory royalty: 1 replaces the flat levy placeholder with royalty + DMF + NMET + other levies. Washed coal: 1 sells washed coal instead of raw coal. The wedge is on by default; royalty build-up and washing are off. Set all three to 0 to reproduce the simple starter model.</t>
  </si>
  <si>
    <t>Colour legend</t>
  </si>
  <si>
    <t>Blue text on a yellow cell = an input you can change.   Black = a formula, do not overwrite.   Green = pulled directly from another sheet.   Green-shaded cell = a key result.</t>
  </si>
  <si>
    <t>Try these experiments (write down what changed and why)</t>
  </si>
  <si>
    <t>1.  Raise the coal price from 2,200 to 2,600 ₹/t. What happens to the break-even stripping ratio and the number of economic blocks?</t>
  </si>
  <si>
    <t>2.  Double the overburden haul distance. How many more dumpers are needed, and why?</t>
  </si>
  <si>
    <t>3.  Change the bucket from 4 m³ to 6 m³. Which numbers change and which do not?</t>
  </si>
  <si>
    <t>4.  Replace the 20 borehole values on the Reserve sheet with data from a textbook problem.</t>
  </si>
  <si>
    <t>5.  Switch the pit-slope wedge off and on. How much do the stripping ratio, the dumper count and the NPV change?</t>
  </si>
  <si>
    <t>6.  Reduce the bench face angle from 70 to 60 degrees. What happens to the overall slope, the factor of safety and the wedge?</t>
  </si>
  <si>
    <t>7.  Move the kriging target next to a borehole, then far from all boreholes. How does the kriging standard deviation change?</t>
  </si>
  <si>
    <t>8.  Change the depreciation method from 1 to 3. What changes in tax and post-tax NPV, and why does the pre-tax NPV not change?</t>
  </si>
  <si>
    <t>9.  Increase holes per delay from 2 to 8. Does the blast still meet the DGMS limit at the distance set on Inputs?</t>
  </si>
  <si>
    <t>Simplifications (say these out loud in a viva)</t>
  </si>
  <si>
    <t>Flat-lying seam with one borehole per block; one seam only; constant coal price; no inflation or working capital. Pit walls use one overall slope per block, with no corner wedges and a dry planar-failure check only. Kriging uses a linear trend and an isotropic variogram fitted to 20 boreholes. Tax has no loss carry-forward. The sensitivity table holds the pit shell at the base case. Stripping ratio is per tonne of coal in place, as on the Reserve sheet. Real planning uses software such as Surpac or Whittle.</t>
  </si>
  <si>
    <t>Sources for the statutory and safety figures</t>
  </si>
  <si>
    <t>Royalty on coal is 14 % ad valorem (MMDR Act 1957, Second Schedule; GSR 349(E) of 10 May 2012). DMF is 30 % of royalty for leases granted before 12 January 2015 and 10 % after. NMET at 2 % and the other-levy figure are placeholders to verify. Permissible PPV values are from DGMS (Tech)(S&amp;T) Circular No. 7 of 1997. Check current notifications before relying on any of them.</t>
  </si>
  <si>
    <t>Inputs — every assumption in one place</t>
  </si>
  <si>
    <t>SAMPLE VALUES chosen by Claude for demonstration (typical ranges, not from any real mine). Replace the yellow cells with your textbook / published data. Sections 6 to 12 drive the advanced sheets.</t>
  </si>
  <si>
    <t>Parameter</t>
  </si>
  <si>
    <t>Value</t>
  </si>
  <si>
    <t>Unit</t>
  </si>
  <si>
    <t>What it means / typical range</t>
  </si>
  <si>
    <t>1. Block model and production target</t>
  </si>
  <si>
    <t>Block length</t>
  </si>
  <si>
    <t>m</t>
  </si>
  <si>
    <t>Each block is the area of influence of one borehole (grid spacing).</t>
  </si>
  <si>
    <t>Block width</t>
  </si>
  <si>
    <t>Same idea, other direction. Block area = length × width.</t>
  </si>
  <si>
    <t>Coal relative density</t>
  </si>
  <si>
    <t>t/m³</t>
  </si>
  <si>
    <t>Typical Indian non-coking coal about 1.3 to 1.6.</t>
  </si>
  <si>
    <t>Overburden density in the bank</t>
  </si>
  <si>
    <t>t/BCM</t>
  </si>
  <si>
    <t>BCM = bank cubic metre (rock measured before blasting). Sandstone/shale mix about 2.0 to 2.5.</t>
  </si>
  <si>
    <t>Mining recovery</t>
  </si>
  <si>
    <t>fraction</t>
  </si>
  <si>
    <t>Share of coal in place that is actually produced (losses at roof, floor, edges). Typical 0.90 to 0.95.</t>
  </si>
  <si>
    <t>Annual coal production target</t>
  </si>
  <si>
    <t>t/year</t>
  </si>
  <si>
    <t>Target the fleet must achieve each year.</t>
  </si>
  <si>
    <t>2. Excavator</t>
  </si>
  <si>
    <t>Bucket capacity</t>
  </si>
  <si>
    <t>m³ (heaped)</t>
  </si>
  <si>
    <t>Rated bucket size of the hydraulic excavator.</t>
  </si>
  <si>
    <t>Bucket fill factor</t>
  </si>
  <si>
    <t>How full the bucket really is. Typical 0.75 to 0.95.</t>
  </si>
  <si>
    <t>Swell factor, overburden</t>
  </si>
  <si>
    <t>loose ÷ bank</t>
  </si>
  <si>
    <t>Blasted rock occupies more volume than in the bank. Typical 1.25 to 1.50.</t>
  </si>
  <si>
    <t>Swell factor, coal</t>
  </si>
  <si>
    <t>Typical 1.20 to 1.40.</t>
  </si>
  <si>
    <t>Excavator cycle time</t>
  </si>
  <si>
    <t>seconds</t>
  </si>
  <si>
    <t>Dig, swing, dump, return for one bucket. Typical 25 to 35 s.</t>
  </si>
  <si>
    <t>Excavator job efficiency</t>
  </si>
  <si>
    <t>min per hour</t>
  </si>
  <si>
    <t>Productive minutes in each hour after small delays. Typical 45 to 55.</t>
  </si>
  <si>
    <t>3. Dumpers and haul route</t>
  </si>
  <si>
    <t>Dumper rated payload</t>
  </si>
  <si>
    <t>t</t>
  </si>
  <si>
    <t>Maximum load per trip.</t>
  </si>
  <si>
    <t>Haul distance, overburden to dump</t>
  </si>
  <si>
    <t>km one way</t>
  </si>
  <si>
    <t>Distance from pit face to external or internal dump.</t>
  </si>
  <si>
    <t>Haul distance, coal to stockyard</t>
  </si>
  <si>
    <t>Distance from pit face to coal stockyard.</t>
  </si>
  <si>
    <t>Average loaded speed</t>
  </si>
  <si>
    <t>km/h</t>
  </si>
  <si>
    <t>Slower than empty because of ramp gradient and rolling resistance.</t>
  </si>
  <si>
    <t>Average empty speed</t>
  </si>
  <si>
    <t>Returning empty.</t>
  </si>
  <si>
    <t>Spotting time at excavator</t>
  </si>
  <si>
    <t>min</t>
  </si>
  <si>
    <t>Dumper positions itself under the bucket.</t>
  </si>
  <si>
    <t>Dumping and manoeuvring time</t>
  </si>
  <si>
    <t>Reverse, tip, pull away.</t>
  </si>
  <si>
    <t>Dumper job efficiency</t>
  </si>
  <si>
    <t>Productive minutes in each hour.</t>
  </si>
  <si>
    <t>4. Working time</t>
  </si>
  <si>
    <t>Working days per year</t>
  </si>
  <si>
    <t>days</t>
  </si>
  <si>
    <t>Calendar days minus holidays and monsoon stoppages.</t>
  </si>
  <si>
    <t>Shifts per day</t>
  </si>
  <si>
    <t>shifts</t>
  </si>
  <si>
    <t>Hours per shift</t>
  </si>
  <si>
    <t>hours</t>
  </si>
  <si>
    <t>Machine availability</t>
  </si>
  <si>
    <t>Share of time the machine is mechanically ready.</t>
  </si>
  <si>
    <t>Machine utilisation</t>
  </si>
  <si>
    <t>Share of available time the machine is actually working.</t>
  </si>
  <si>
    <t>5. Costs, price and capital</t>
  </si>
  <si>
    <t>Drilling and blasting, overburden</t>
  </si>
  <si>
    <t>₹/BCM</t>
  </si>
  <si>
    <t>Link this to your Blast Design Calculator cost estimate later.</t>
  </si>
  <si>
    <t>Drilling and blasting, coal</t>
  </si>
  <si>
    <t>₹/t</t>
  </si>
  <si>
    <t>Excavator hourly cost</t>
  </si>
  <si>
    <t>₹/hour</t>
  </si>
  <si>
    <t>Ownership + fuel + operator + maintenance, for one hour.</t>
  </si>
  <si>
    <t>Dumper hourly cost</t>
  </si>
  <si>
    <t>Same idea for one dumper.</t>
  </si>
  <si>
    <t>Coal handling and dispatch</t>
  </si>
  <si>
    <t>Crushing, loading to trucks or rail, weighing.</t>
  </si>
  <si>
    <t>Overheads and other site costs</t>
  </si>
  <si>
    <t>Supervision, dewatering, power, admin, safety.</t>
  </si>
  <si>
    <t>Royalty and statutory levies</t>
  </si>
  <si>
    <t>Check the current statutory rates; this is only a placeholder.</t>
  </si>
  <si>
    <t>Coal selling price</t>
  </si>
  <si>
    <t>Price at the mine. Placeholder, vary it to see the effect.</t>
  </si>
  <si>
    <t>Non-equipment capital cost</t>
  </si>
  <si>
    <t>₹ crore</t>
  </si>
  <si>
    <t>Land, haul roads, infrastructure, clearances. Equipment ownership is already inside the hourly costs above, so it is not repeated here.</t>
  </si>
  <si>
    <t>Discount rate</t>
  </si>
  <si>
    <t>Used to bring future profits to today's value.</t>
  </si>
  <si>
    <t>6. Model switches (advanced modules)</t>
  </si>
  <si>
    <t>Include pit-slope wedge in stripping ratio</t>
  </si>
  <si>
    <t>1 = yes, 0 = no</t>
  </si>
  <si>
    <t>Adds the extra overburden removed to form stable pit walls (Pit design sheet). 0 gives the simple block-only stripping ratio.</t>
  </si>
  <si>
    <t>Use statutory royalty build-up</t>
  </si>
  <si>
    <t>1 = yes, 0 = flat</t>
  </si>
  <si>
    <t>1 = royalty + DMF + NMET + other levies from the Quality and royalty sheet (about ₹417/t at the sample price, well below the ₹900/t placeholder, so turning it on makes every block economic). 0 = the flat ₹/t placeholder in section 5.</t>
  </si>
  <si>
    <t>Sell washed coal instead of raw ROM coal</t>
  </si>
  <si>
    <t>1 = washed, 0 = raw</t>
  </si>
  <si>
    <t>1 = revenue per tonne of ROM feed after washing (yield × washed price − washing cost). 0 = raw coal at the selling price in section 5.</t>
  </si>
  <si>
    <t>7. Geostatistics: variogram and kriging</t>
  </si>
  <si>
    <t>Remove linear trend before kriging</t>
  </si>
  <si>
    <t>Seam thickness often trends across a deposit. Kriging the residuals avoids a variogram that never levels off.</t>
  </si>
  <si>
    <t>Variogram model</t>
  </si>
  <si>
    <t>1, 2 or 3</t>
  </si>
  <si>
    <t>1 = spherical, 2 = exponential, 3 = Gaussian. Gaussian needs a nugget above zero to stay numerically stable.</t>
  </si>
  <si>
    <t>Nugget, c0</t>
  </si>
  <si>
    <t>m²</t>
  </si>
  <si>
    <t>Variance at very short distance (sampling error plus micro-scale variation). Fit by eye against the Geostatistics chart, or use Solver.</t>
  </si>
  <si>
    <t>Partial sill, c</t>
  </si>
  <si>
    <t>Spatially correlated variance. Total sill = nugget + partial sill.</t>
  </si>
  <si>
    <t>Range, a</t>
  </si>
  <si>
    <t>Distance beyond which boreholes are no longer correlated (practical range for exponential and Gaussian).</t>
  </si>
  <si>
    <t>Lag class width</t>
  </si>
  <si>
    <t>Distance bin for the experimental variogram. Usually the borehole spacing.</t>
  </si>
  <si>
    <t>Kriging target, X</t>
  </si>
  <si>
    <t>East-west position from the grid origin. Block centres are at (column number − 0.5) × block length.</t>
  </si>
  <si>
    <t>Kriging target, Y</t>
  </si>
  <si>
    <t>North-south position. Block centres are at (row letter − 0.5) × block width, with A = 1.</t>
  </si>
  <si>
    <t>8. Pit design and slope stability</t>
  </si>
  <si>
    <t>Bench height</t>
  </si>
  <si>
    <t>Typical 6 to 15 m for hydraulic excavators; roughly the excavator's digging height.</t>
  </si>
  <si>
    <t>Bench face angle</t>
  </si>
  <si>
    <t>degrees</t>
  </si>
  <si>
    <t>Slope of one bench face. Typical 60 to 80 degrees in overburden.</t>
  </si>
  <si>
    <t>Berm (catch bench) width</t>
  </si>
  <si>
    <t>Width of the flat step left between benches to catch falling rock.</t>
  </si>
  <si>
    <t>Rock mass cohesion</t>
  </si>
  <si>
    <t>kPa</t>
  </si>
  <si>
    <t>Shear strength at zero normal stress. Take from lab or published rock-mass data.</t>
  </si>
  <si>
    <t>Friction angle</t>
  </si>
  <si>
    <t>Angle of internal friction of the failure plane. Typical 25 to 40 degrees.</t>
  </si>
  <si>
    <t>Failure plane dip</t>
  </si>
  <si>
    <t>Dip of the planar surface a wedge could slide on (bedding or a joint set). Must be flatter than the pit slope for failure to be possible.</t>
  </si>
  <si>
    <t>Target factor of safety</t>
  </si>
  <si>
    <t>ratio</t>
  </si>
  <si>
    <t>Typical 1.2 to 1.5 depending on how long the slope must stand and the consequence of failure.</t>
  </si>
  <si>
    <t>Haul ramp gradient</t>
  </si>
  <si>
    <t>%</t>
  </si>
  <si>
    <t>Rise per 100 m of ramp. 8 % is about 1 in 12.5. Also used for stopping distance on the Safety sheet.</t>
  </si>
  <si>
    <t>9. Mine planning</t>
  </si>
  <si>
    <t>Taylor's rule constant</t>
  </si>
  <si>
    <t>years</t>
  </si>
  <si>
    <t>Taylor (1977): life ≈ 0.2 × (reserve in tonnes)^0.25. Empirical, from metal mines; accuracy about ±25 %.</t>
  </si>
  <si>
    <t>Taylor's rule exponent</t>
  </si>
  <si>
    <t>power</t>
  </si>
  <si>
    <t>Exponent on the reserve tonnage.</t>
  </si>
  <si>
    <t>10. Washability and statutory levies</t>
  </si>
  <si>
    <t>Target clean-coal ash</t>
  </si>
  <si>
    <t>Ash the washed product must meet. Float-and-sink data are on the Quality and royalty sheet.</t>
  </si>
  <si>
    <t>Washery organic efficiency</t>
  </si>
  <si>
    <t>Actual yield ÷ theoretical yield at the same ash. Typical 0.90 to 0.97.</t>
  </si>
  <si>
    <t>Washed coal selling price</t>
  </si>
  <si>
    <t>Price of the washed product. Placeholder: vary it to find the break-even washed price.</t>
  </si>
  <si>
    <t>Washing cost</t>
  </si>
  <si>
    <t>₹/t of feed</t>
  </si>
  <si>
    <t>Operating cost of the washery per tonne of ROM coal fed.</t>
  </si>
  <si>
    <t>Reject value</t>
  </si>
  <si>
    <t>₹/t of reject</t>
  </si>
  <si>
    <t>Sale value of rejects (middlings, shale). Often near zero.</t>
  </si>
  <si>
    <t>Royalty rate on coal</t>
  </si>
  <si>
    <t>of coal price</t>
  </si>
  <si>
    <t>14 % ad valorem (MMDR Act 1957, Second Schedule; GSR 349(E) of 10 May 2012). Verify the current notification.</t>
  </si>
  <si>
    <t>DMF contribution</t>
  </si>
  <si>
    <t>of royalty</t>
  </si>
  <si>
    <t>30 % of royalty for leases granted before 12 Jan 2015; 10 % for leases granted on or after that date.</t>
  </si>
  <si>
    <t>NMET contribution</t>
  </si>
  <si>
    <t>Other statutory levies</t>
  </si>
  <si>
    <t>Placeholder for stowing excise duty, environment and similar per-tonne levies. Check current notifications.</t>
  </si>
  <si>
    <t>11. Equipment capital, depreciation and tax</t>
  </si>
  <si>
    <t>Excavator purchase price</t>
  </si>
  <si>
    <t>₹ crore each</t>
  </si>
  <si>
    <t>Sample price for a 4 m³ hydraulic excavator. Replace with a quotation.</t>
  </si>
  <si>
    <t>Dumper purchase price</t>
  </si>
  <si>
    <t>Sample price for a 35 t rear-dump truck.</t>
  </si>
  <si>
    <t>Ownership share of machine hourly cost</t>
  </si>
  <si>
    <t>Part of the hourly cost that is ownership (depreciation and interest). It is removed from cash cost on the Finance sheet because capital and depreciation are modelled explicitly there.</t>
  </si>
  <si>
    <t>Depreciation method</t>
  </si>
  <si>
    <t>1 = straight line, 2 = written-down value (declining balance), 3 = units of production.</t>
  </si>
  <si>
    <t>Depreciable life of equipment</t>
  </si>
  <si>
    <t>Used by the straight-line method.</t>
  </si>
  <si>
    <t>Written-down value rate</t>
  </si>
  <si>
    <t>per year</t>
  </si>
  <si>
    <t>Used by method 2. Check the rate that applies to your equipment class.</t>
  </si>
  <si>
    <t>Value realised at closure</t>
  </si>
  <si>
    <t>of book value</t>
  </si>
  <si>
    <t>Share of the remaining book value recovered by selling equipment when the mine closes. The shortfall is a tax-deductible loss.</t>
  </si>
  <si>
    <t>Income tax rate</t>
  </si>
  <si>
    <t>of taxable profit</t>
  </si>
  <si>
    <t>Placeholder. Use the current corporate rate including surcharge and cess that applies to your case.</t>
  </si>
  <si>
    <t>12. Blasting, vibration and haul-road safety</t>
  </si>
  <si>
    <t>Powder factor</t>
  </si>
  <si>
    <t>kg/m³</t>
  </si>
  <si>
    <t>Explosive per bank cubic metre of overburden. Typical 0.3 to 0.6.</t>
  </si>
  <si>
    <t>Explosive cost</t>
  </si>
  <si>
    <t>₹/kg</t>
  </si>
  <si>
    <t>Delivered cost of bulk explosive. Placeholder.</t>
  </si>
  <si>
    <t>Blast burden</t>
  </si>
  <si>
    <t>Distance from a hole to the free face.</t>
  </si>
  <si>
    <t>Blast hole spacing</t>
  </si>
  <si>
    <t>Distance between holes in a row.</t>
  </si>
  <si>
    <t>Holes firing per delay</t>
  </si>
  <si>
    <t>holes</t>
  </si>
  <si>
    <t>Holes that fire at the same instant. Maximum charge per delay controls ground vibration.</t>
  </si>
  <si>
    <t>Distance to nearest structure</t>
  </si>
  <si>
    <t>Nearest house, building or sensitive structure not owned by the mine.</t>
  </si>
  <si>
    <t>Site constant K (vibration)</t>
  </si>
  <si>
    <t>mm/s</t>
  </si>
  <si>
    <t>From the scaled-distance law PPV = K × (R/√Q)^−β. Found by regression on blast monitoring data at your site.</t>
  </si>
  <si>
    <t>Site constant β (vibration)</t>
  </si>
  <si>
    <t>Attenuation exponent. Typical 1.2 to 2.0.</t>
  </si>
  <si>
    <t>Structure category</t>
  </si>
  <si>
    <t>1 to 5</t>
  </si>
  <si>
    <t>Row of the DGMS table on the Safety sheet. 1 = domestic houses not owned by the mine.</t>
  </si>
  <si>
    <t>Dominant frequency band</t>
  </si>
  <si>
    <t>1 = below 8 Hz, 2 = 8 to 25 Hz, 3 = above 25 Hz.</t>
  </si>
  <si>
    <t>Driver reaction time</t>
  </si>
  <si>
    <t>s</t>
  </si>
  <si>
    <t>Time before the brakes are applied. Typical 1.0 to 2.0 s.</t>
  </si>
  <si>
    <t>Braking friction coefficient</t>
  </si>
  <si>
    <t>Tyre-to-road friction available for braking. Lower on wet or loose surfaces.</t>
  </si>
  <si>
    <t>Available sight distance on ramp</t>
  </si>
  <si>
    <t>Distance over which the driver can see an obstacle.</t>
  </si>
  <si>
    <t>Maximum loaded speed downhill</t>
  </si>
  <si>
    <t>Speed limit for loaded dumpers going down the ramp.</t>
  </si>
  <si>
    <t>Reserve — how much coal and overburden, and which blocks are worth mining?</t>
  </si>
  <si>
    <t>Block (borehole-grid) method: each borehole represents one block. Enter thickness from each borehole; everything else is formula. SAMPLE DATA.</t>
  </si>
  <si>
    <t>Block</t>
  </si>
  <si>
    <t>Overburden thickness (m)</t>
  </si>
  <si>
    <t>Coal seam thickness (m)</t>
  </si>
  <si>
    <t>Block area (m²)</t>
  </si>
  <si>
    <t>Overburden volume (BCM)</t>
  </si>
  <si>
    <t>Coal volume (m³)</t>
  </si>
  <si>
    <t>Coal in place (t)</t>
  </si>
  <si>
    <t>Stripping ratio (m³/t)</t>
  </si>
  <si>
    <t>Economic to mine? (SR ≤ break-even)</t>
  </si>
  <si>
    <t>A1</t>
  </si>
  <si>
    <t>A2</t>
  </si>
  <si>
    <t>A3</t>
  </si>
  <si>
    <t>A4</t>
  </si>
  <si>
    <t>A5</t>
  </si>
  <si>
    <t>B1</t>
  </si>
  <si>
    <t>B2</t>
  </si>
  <si>
    <t>B3</t>
  </si>
  <si>
    <t>B4</t>
  </si>
  <si>
    <t>B5</t>
  </si>
  <si>
    <t>C1</t>
  </si>
  <si>
    <t>C2</t>
  </si>
  <si>
    <t>C3</t>
  </si>
  <si>
    <t>C4</t>
  </si>
  <si>
    <t>C5</t>
  </si>
  <si>
    <t>D1</t>
  </si>
  <si>
    <t>D2</t>
  </si>
  <si>
    <t>D3</t>
  </si>
  <si>
    <t>D4</t>
  </si>
  <si>
    <t>D5</t>
  </si>
  <si>
    <t>Total / overall</t>
  </si>
  <si>
    <t>Row 26: thickness columns show the average; other columns show totals. Overall stripping ratio = total overburden ÷ total coal.</t>
  </si>
  <si>
    <t>All blocks</t>
  </si>
  <si>
    <t>Coal in place</t>
  </si>
  <si>
    <t>Sum of all block tonnages.</t>
  </si>
  <si>
    <t>Recoverable coal</t>
  </si>
  <si>
    <t>Coal in place × mining recovery.</t>
  </si>
  <si>
    <t>Overall stripping ratio</t>
  </si>
  <si>
    <t>m³/t</t>
  </si>
  <si>
    <t>Total overburden ÷ total coal in place.</t>
  </si>
  <si>
    <t>Mine life, all blocks</t>
  </si>
  <si>
    <t>Recoverable coal ÷ annual production.</t>
  </si>
  <si>
    <t>Economic blocks only (stripping ratio at or below the break-even)</t>
  </si>
  <si>
    <t>Mining a block above the break-even loses money, so the plan keeps only the 'Yes' blocks. This is the idea behind a pit limit.</t>
  </si>
  <si>
    <t>Number of economic blocks</t>
  </si>
  <si>
    <t>blocks</t>
  </si>
  <si>
    <t>Blocks marked Yes.</t>
  </si>
  <si>
    <t>Coal in place, economic blocks</t>
  </si>
  <si>
    <t>SUMIF over the Yes blocks.</t>
  </si>
  <si>
    <t>Overburden, economic blocks</t>
  </si>
  <si>
    <t>BCM</t>
  </si>
  <si>
    <t>Stripping ratio, economic blocks</t>
  </si>
  <si>
    <t>Includes the pit-slope wedge when the switch on Inputs is 1 (Pit design sheet). Used by the Fleet and Economics sheets.</t>
  </si>
  <si>
    <t>Recoverable coal, economic blocks</t>
  </si>
  <si>
    <t>Used for mine life and the cash flow.</t>
  </si>
  <si>
    <t>Mine life, economic blocks</t>
  </si>
  <si>
    <t>Geostatistics — how continuous is the seam, and what is the kriged estimate at an unsampled point?</t>
  </si>
  <si>
    <t>Semivariogram of the borehole thicknesses, a fitted model, and ordinary kriging with a 95 % confidence interval. SAMPLE DATA: replace the boreholes on the Reserve sheet.</t>
  </si>
  <si>
    <t>A. Borehole data and trend surface</t>
  </si>
  <si>
    <t>X (m)</t>
  </si>
  <si>
    <t>Y (m)</t>
  </si>
  <si>
    <t>Coal trend (m)</t>
  </si>
  <si>
    <t>Coal value used (m)</t>
  </si>
  <si>
    <t>Overburden trend (m)</t>
  </si>
  <si>
    <t>Overburden value used (m)</t>
  </si>
  <si>
    <t>Trend surface: thickness = a + b × X + c × Y (least squares). Used only when the trend switch on Inputs is 1.</t>
  </si>
  <si>
    <t>Quantity</t>
  </si>
  <si>
    <t>a (intercept, m)</t>
  </si>
  <si>
    <t>b (m per m, X)</t>
  </si>
  <si>
    <t>c (m per m, Y)</t>
  </si>
  <si>
    <t>R²</t>
  </si>
  <si>
    <t>Coal seam thickness</t>
  </si>
  <si>
    <t>Overburden thickness</t>
  </si>
  <si>
    <t>B. Experimental semivariogram and the fitted model</t>
  </si>
  <si>
    <t>Lag class</t>
  </si>
  <si>
    <t>Nominal lag (m)</t>
  </si>
  <si>
    <t>Pairs</t>
  </si>
  <si>
    <t>Mean distance (m)</t>
  </si>
  <si>
    <t>Experimental γ (m²)</t>
  </si>
  <si>
    <t>Model γ (m²)</t>
  </si>
  <si>
    <t>Weighted squared error</t>
  </si>
  <si>
    <t>h (m)</t>
  </si>
  <si>
    <t>Model γ(h)</t>
  </si>
  <si>
    <t>Total</t>
  </si>
  <si>
    <t>Variance of the values used</t>
  </si>
  <si>
    <t>Sample variance of coal thickness (or of the residuals when the trend is removed).</t>
  </si>
  <si>
    <t>Total sill of the model (nugget + partial sill)</t>
  </si>
  <si>
    <t>A good fit has a total sill close to the variance above.</t>
  </si>
  <si>
    <t>Weighted RMS error of the fit</t>
  </si>
  <si>
    <t>Smaller is better. Adjust nugget, sill and range on Inputs until the model line follows the points.</t>
  </si>
  <si>
    <t>Twenty boreholes give a rough experimental variogram: treat the fit as indicative and refit with real data.</t>
  </si>
  <si>
    <t>C. Ordinary kriging at the target point</t>
  </si>
  <si>
    <t>Item</t>
  </si>
  <si>
    <t>What it means</t>
  </si>
  <si>
    <t>Target X</t>
  </si>
  <si>
    <t>Set on Inputs. Choose a point that is not a borehole.</t>
  </si>
  <si>
    <t>Target Y</t>
  </si>
  <si>
    <t>Set on Inputs.</t>
  </si>
  <si>
    <t>Nearest borehole</t>
  </si>
  <si>
    <t>Used by the polygon (nearest-neighbour) comparison below.</t>
  </si>
  <si>
    <t>Distance to nearest borehole</t>
  </si>
  <si>
    <t>Kriging variance grows as the target moves away from data.</t>
  </si>
  <si>
    <t>Sum of kriging weights</t>
  </si>
  <si>
    <t>Must equal 1.000 (unbiasedness condition).</t>
  </si>
  <si>
    <t>Lagrange multiplier, μ</t>
  </si>
  <si>
    <t>Enforces the weights summing to 1. Enters the kriging variance.</t>
  </si>
  <si>
    <t>Negative weights</t>
  </si>
  <si>
    <t>count</t>
  </si>
  <si>
    <t>Negative weights can appear when closer samples screen farther ones. Large negatives need a closer look.</t>
  </si>
  <si>
    <t>Trend value at target, coal seam</t>
  </si>
  <si>
    <t>Zero when the trend switch is off.</t>
  </si>
  <si>
    <t>Trend value at target, overburden</t>
  </si>
  <si>
    <t>Kriged coal seam thickness</t>
  </si>
  <si>
    <t>Trend plus the kriged residual: Σ weight × value.</t>
  </si>
  <si>
    <t>Kriging variance</t>
  </si>
  <si>
    <t>σ²K = Σ λᵢ γ(hᵢ0) + μ. Depends only on geometry and the variogram, not on the thickness values.</t>
  </si>
  <si>
    <t>Kriging standard deviation</t>
  </si>
  <si>
    <t>95 % confidence interval, ±</t>
  </si>
  <si>
    <t>Assumes normally distributed estimation errors.</t>
  </si>
  <si>
    <t>Relative error</t>
  </si>
  <si>
    <t>Confidence half-width as a share of the estimate.</t>
  </si>
  <si>
    <t>Coal thickness, nearest borehole (polygon)</t>
  </si>
  <si>
    <t>Classical polygon estimate for comparison.</t>
  </si>
  <si>
    <t>Coal thickness, inverse distance squared</t>
  </si>
  <si>
    <t>Weights = 1/h². Ignores the clustering and the trend.</t>
  </si>
  <si>
    <t>Kriged overburden thickness</t>
  </si>
  <si>
    <t>Same weights applied to overburden residuals plus its own trend.</t>
  </si>
  <si>
    <t>Coal in place, one block centred here</t>
  </si>
  <si>
    <t>Block area × kriged thickness × relative density.</t>
  </si>
  <si>
    <t xml:space="preserve">  lower limit (thickness − 95 % CI)</t>
  </si>
  <si>
    <t xml:space="preserve">  upper limit (thickness + 95 % CI)</t>
  </si>
  <si>
    <t>Stripping ratio at the target</t>
  </si>
  <si>
    <t>Overburden thickness ÷ (coal thickness × density).</t>
  </si>
  <si>
    <t>Kriging assumes a stationary variogram. The trend switch on Inputs removes a linear trend first (a simple form of universal kriging).</t>
  </si>
  <si>
    <t>D. Calculation blocks (formulas only, do not edit)</t>
  </si>
  <si>
    <t>Distance matrix h (m) between every pair of boreholes</t>
  </si>
  <si>
    <t>To target (m)</t>
  </si>
  <si>
    <t>Observed semivariance ½ (zᵢ − zⱼ)² of the values used (m²)</t>
  </si>
  <si>
    <t>Kriging system: [Γ 1; 1ᵀ 0] × [λ; μ] = [γ₀; 1], solved with MMULT and MINVERSE</t>
  </si>
  <si>
    <t>1</t>
  </si>
  <si>
    <t>RHS: γ(h to target)</t>
  </si>
  <si>
    <t>Weights λ (last row = μ)</t>
  </si>
  <si>
    <t>Unbiasedness row</t>
  </si>
  <si>
    <t>Pit design — benches, overall slope, slope-wedge overburden and slope stability</t>
  </si>
  <si>
    <t>Bench geometry gives the overall pit slope. Each pit wall adds a wedge of overburden that no borehole shows. A planar-failure check tests whether the slope will stand.</t>
  </si>
  <si>
    <t>A. Pit walls and slope-wedge overburden, block by block</t>
  </si>
  <si>
    <t>Pit depth (m)</t>
  </si>
  <si>
    <t>Economic (1 = yes)</t>
  </si>
  <si>
    <t>Benches</t>
  </si>
  <si>
    <t>Overall slope (degrees)</t>
  </si>
  <si>
    <t>North wall</t>
  </si>
  <si>
    <t>South wall</t>
  </si>
  <si>
    <t>West wall</t>
  </si>
  <si>
    <t>East wall</t>
  </si>
  <si>
    <t>Wall length (m)</t>
  </si>
  <si>
    <t>Wall depth (m)</t>
  </si>
  <si>
    <t>Wedge volume (BCM)</t>
  </si>
  <si>
    <t>Total / deepest wall</t>
  </si>
  <si>
    <t>A wall exists where an economic block meets the grid edge or a block left unmined (flag 1). Corner wedges are ignored. Overall slope: tan β = D ÷ (D ÷ tan α + (N − 1) × berm).</t>
  </si>
  <si>
    <t>B. Effect on the stripping ratio</t>
  </si>
  <si>
    <t>Overburden in economic blocks</t>
  </si>
  <si>
    <t>Block-by-block overburden from the Reserve sheet.</t>
  </si>
  <si>
    <t>Slope-wedge overburden</t>
  </si>
  <si>
    <t>Extra rock to cut back the pit walls: ½ × D² × cot β per metre of wall.</t>
  </si>
  <si>
    <t>Wedge switch (Inputs)</t>
  </si>
  <si>
    <t>1 or 0</t>
  </si>
  <si>
    <t>1 includes the wedge in the stripping ratio used by Fleet, Economics and Cash flow.</t>
  </si>
  <si>
    <t>Overburden to remove, including wedge</t>
  </si>
  <si>
    <t>Stripping ratio, blocks only</t>
  </si>
  <si>
    <t>What the simple block model gives.</t>
  </si>
  <si>
    <t>Stripping ratio including pit slopes</t>
  </si>
  <si>
    <t>Feeds the Reserve sheet (stripping ratio, economic blocks).</t>
  </si>
  <si>
    <t>Increase due to pit slopes</t>
  </si>
  <si>
    <t>C. Planar-failure factor of safety, deepest wall (dry slope, no tension crack)</t>
  </si>
  <si>
    <t>Slope height, H (deepest wall)</t>
  </si>
  <si>
    <t>Deepest wall on the economic pit outline.</t>
  </si>
  <si>
    <t>Overall slope angle of that wall, ψf</t>
  </si>
  <si>
    <t>From the bench geometry for that wall.</t>
  </si>
  <si>
    <t>Unit weight of rock, γ</t>
  </si>
  <si>
    <t>kN/m³</t>
  </si>
  <si>
    <t>Overburden density (t/m³) × 9.81.</t>
  </si>
  <si>
    <t>Cohesion, c</t>
  </si>
  <si>
    <t>Friction angle, φ</t>
  </si>
  <si>
    <t>Failure plane dip, ψp</t>
  </si>
  <si>
    <t>The plane must be flatter than the slope to daylight in the face.</t>
  </si>
  <si>
    <t>Weight of sliding block, W</t>
  </si>
  <si>
    <t>kN per m</t>
  </si>
  <si>
    <t>W = ½ γ H² (cot ψp − cot ψf), per metre of wall length.</t>
  </si>
  <si>
    <t>Area of failure plane, A</t>
  </si>
  <si>
    <t>m² per m</t>
  </si>
  <si>
    <t>A = H ÷ sin ψp.</t>
  </si>
  <si>
    <t>Resisting force</t>
  </si>
  <si>
    <t>c × A + W cos ψp tan φ.</t>
  </si>
  <si>
    <t>Driving force</t>
  </si>
  <si>
    <t>W sin ψp.</t>
  </si>
  <si>
    <t>Factor of safety, FoS</t>
  </si>
  <si>
    <t>Resisting ÷ driving. Below 1.0 the block slides.</t>
  </si>
  <si>
    <t>Verdict</t>
  </si>
  <si>
    <t>Stable means the failure plane does not daylight in the slope face.</t>
  </si>
  <si>
    <t>D. Slope-angle trade-off at the same wall height: steeper walls cut stripping but lower the factor of safety</t>
  </si>
  <si>
    <t>Overall slope angle (degrees)</t>
  </si>
  <si>
    <t>Factor of safety</t>
  </si>
  <si>
    <t>Meets target?</t>
  </si>
  <si>
    <t>Flag</t>
  </si>
  <si>
    <t>Wedge per metre of wall (BCM/m)</t>
  </si>
  <si>
    <t>Steepest slope that meets the target FoS</t>
  </si>
  <si>
    <t>Largest angle in the table whose flag is 1.</t>
  </si>
  <si>
    <t>Slope angle used in the design (deepest wall)</t>
  </si>
  <si>
    <t>If this is above the line above, flatten the slope or add berm width.</t>
  </si>
  <si>
    <t>E. Haul ramp</t>
  </si>
  <si>
    <t>Ramp gradient</t>
  </si>
  <si>
    <t>Deepest economic block floor</t>
  </si>
  <si>
    <t>Depth the ramp must reach.</t>
  </si>
  <si>
    <t>Ramp length to reach the deepest floor</t>
  </si>
  <si>
    <t>Depth ÷ gradient. Adds to the haul distance and to the stripping needed for the ramp.</t>
  </si>
  <si>
    <t>Gradient expressed as 1 in</t>
  </si>
  <si>
    <t>Fleet — how many excavators and dumpers does the target need?</t>
  </si>
  <si>
    <t>Column B = overburden, column C = coal. Every row is a formula; the note says what it means.</t>
  </si>
  <si>
    <t>Overburden</t>
  </si>
  <si>
    <t>Coal</t>
  </si>
  <si>
    <t>A. Excavator productivity</t>
  </si>
  <si>
    <t>Swell factor (loose ÷ bank)</t>
  </si>
  <si>
    <t>Pulled from Inputs.</t>
  </si>
  <si>
    <t>Density in the bank</t>
  </si>
  <si>
    <t>Bucket payload per pass</t>
  </si>
  <si>
    <t>Bucket × fill factor ÷ swell. The loose rock in the bucket, converted back to bank volume.</t>
  </si>
  <si>
    <t>Bank volume × density.</t>
  </si>
  <si>
    <t>Excavator passes per hour</t>
  </si>
  <si>
    <t>passes</t>
  </si>
  <si>
    <t>3600 s ÷ cycle time gives passes in a full hour; × efficiency (min ÷ 60) gives productive passes.</t>
  </si>
  <si>
    <t>Excavator productivity</t>
  </si>
  <si>
    <t>BCM/hr</t>
  </si>
  <si>
    <t>Payload per pass × passes per hour.</t>
  </si>
  <si>
    <t>t/hr</t>
  </si>
  <si>
    <t>BCM/hr × density.</t>
  </si>
  <si>
    <t>B. Dumper cycle (one trip)</t>
  </si>
  <si>
    <t>Haul distance one way</t>
  </si>
  <si>
    <t>km</t>
  </si>
  <si>
    <t>Buckets needed to load one dumper</t>
  </si>
  <si>
    <t>Rated payload ÷ tonnes per bucket, rounded DOWN so the dumper is not overloaded.</t>
  </si>
  <si>
    <t>Actual payload per trip</t>
  </si>
  <si>
    <t>Whole buckets × tonnes per bucket.</t>
  </si>
  <si>
    <t>Loading time</t>
  </si>
  <si>
    <t>Buckets × excavator cycle time.</t>
  </si>
  <si>
    <t>Loaded haul time</t>
  </si>
  <si>
    <t>Distance ÷ speed × 60.</t>
  </si>
  <si>
    <t>Return time, empty</t>
  </si>
  <si>
    <t>Spotting + dumping time</t>
  </si>
  <si>
    <t>Fixed time at each end.</t>
  </si>
  <si>
    <t>Total dumper cycle time</t>
  </si>
  <si>
    <t>Load + haul + return + spot and dump.</t>
  </si>
  <si>
    <t>Trips per hour</t>
  </si>
  <si>
    <t>trips</t>
  </si>
  <si>
    <t>Productive minutes per hour ÷ cycle time.</t>
  </si>
  <si>
    <t>Dumper productivity</t>
  </si>
  <si>
    <t>Trips per hour × payload per trip.</t>
  </si>
  <si>
    <t>Dumpers needed to keep one excavator busy</t>
  </si>
  <si>
    <t>dumpers</t>
  </si>
  <si>
    <t>Cycle time ÷ loading time. This is the fleet match number.</t>
  </si>
  <si>
    <t>C. Fleet required for the production target</t>
  </si>
  <si>
    <t>Effective hours per machine per year</t>
  </si>
  <si>
    <t>Days × shifts × hours × availability × utilisation.</t>
  </si>
  <si>
    <t>Quantity to move per year</t>
  </si>
  <si>
    <t>BCM/yr</t>
  </si>
  <si>
    <t>Overburden = production × stripping ratio (economic blocks). Coal = production ÷ density.</t>
  </si>
  <si>
    <t>t/yr</t>
  </si>
  <si>
    <t>Overburden BCM × density. Coal = production target.</t>
  </si>
  <si>
    <t>Excavator hours needed per year</t>
  </si>
  <si>
    <t>Tonnes to move ÷ excavator tonnes per hour.</t>
  </si>
  <si>
    <t>Dumper hours needed per year</t>
  </si>
  <si>
    <t>Tonnes to move ÷ dumper tonnes per hour.</t>
  </si>
  <si>
    <t>Excavators required (overburden + coal)</t>
  </si>
  <si>
    <t>machines</t>
  </si>
  <si>
    <t>Total hours needed ÷ hours one machine can work, rounded UP.</t>
  </si>
  <si>
    <t>Dumpers required (overburden + coal)</t>
  </si>
  <si>
    <t>Same method for dumpers.</t>
  </si>
  <si>
    <t>Excavator fleet utilisation</t>
  </si>
  <si>
    <t>How busy the rounded-up fleet is. Very low means you may be over-sized.</t>
  </si>
  <si>
    <t>Dumper fleet utilisation</t>
  </si>
  <si>
    <t>Same check for dumpers.</t>
  </si>
  <si>
    <t>Dumpers per excavator in the fleet</t>
  </si>
  <si>
    <t>Compare with the match number above.</t>
  </si>
  <si>
    <t>Safety — blast vibration against DGMS limits, and haul-ramp stopping distance</t>
  </si>
  <si>
    <t>Ground vibration from the scaled-distance law, and how far a loaded dumper travels before it stops on the ramp. Sample site constants: replace with monitoring data.</t>
  </si>
  <si>
    <t>A. Blast design</t>
  </si>
  <si>
    <t>Burden, B</t>
  </si>
  <si>
    <t>Spacing, S</t>
  </si>
  <si>
    <t>Bench height, H</t>
  </si>
  <si>
    <t>From the Pit design inputs.</t>
  </si>
  <si>
    <t>Rock broken per hole</t>
  </si>
  <si>
    <t>Burden × spacing × height (sub-drilling ignored).</t>
  </si>
  <si>
    <t>Explosive charge per hole, Q</t>
  </si>
  <si>
    <t>kg</t>
  </si>
  <si>
    <t>Maximum charge per delay, Qd</t>
  </si>
  <si>
    <t>Controls the ground vibration.</t>
  </si>
  <si>
    <t>Powder factor × cost per kg.</t>
  </si>
  <si>
    <t>Drilling and blasting cost in the model</t>
  </si>
  <si>
    <t>Inputs section 5.</t>
  </si>
  <si>
    <t>Explosive share of the drilling and blasting cost</t>
  </si>
  <si>
    <t>Typically about half. The rest is drilling, accessories and labour.</t>
  </si>
  <si>
    <t>B. Ground vibration: peak particle velocity (PPV) = K × (R ÷ √Qd)^−β</t>
  </si>
  <si>
    <t>Distance to nearest structure, R</t>
  </si>
  <si>
    <t>Site constant K</t>
  </si>
  <si>
    <t>Site constant β</t>
  </si>
  <si>
    <t>Scaled distance, R ÷ √Qd</t>
  </si>
  <si>
    <t>m/kg^0.5</t>
  </si>
  <si>
    <t>Predicted PPV</t>
  </si>
  <si>
    <t>Permissible PPV (DGMS table)</t>
  </si>
  <si>
    <t>Looked up from the structure category and frequency band chosen on Inputs.</t>
  </si>
  <si>
    <t>Status</t>
  </si>
  <si>
    <t>Margin: permissible ÷ predicted</t>
  </si>
  <si>
    <t>Above 1 is safe. Aim for a comfortable margin because site constants are uncertain.</t>
  </si>
  <si>
    <t>Safe distance at this charge</t>
  </si>
  <si>
    <t>Closest a structure can be for the PPV to equal the limit.</t>
  </si>
  <si>
    <t>Maximum charge per delay at this distance</t>
  </si>
  <si>
    <t>Largest Qd that keeps the PPV at the limit. Reduce holes per delay if the status fails.</t>
  </si>
  <si>
    <t>Permissible PPV by structure and dominant frequency (mm/s)</t>
  </si>
  <si>
    <t>DGMS (Tech)(S&amp;T) Circular No. 7 of 1997, permissible peak particle velocity at the foundation of structures in mining areas. Verify against the latest circular.</t>
  </si>
  <si>
    <t>Below 8 Hz</t>
  </si>
  <si>
    <t>8 to 25 Hz</t>
  </si>
  <si>
    <t>Above 25 Hz</t>
  </si>
  <si>
    <t>1  Domestic houses, not owned by the mine</t>
  </si>
  <si>
    <t>2  Industrial buildings (RCC and framed), not owned by the mine</t>
  </si>
  <si>
    <t>3  Historical and sensitive structures</t>
  </si>
  <si>
    <t>4  Domestic houses, owned by the mine (limited life)</t>
  </si>
  <si>
    <t>5  Industrial buildings, owned by the mine (limited life)</t>
  </si>
  <si>
    <t>C. Stopping distance for a loaded dumper going down the ramp</t>
  </si>
  <si>
    <t>Speed (km/h)</t>
  </si>
  <si>
    <t>Speed (m/s)</t>
  </si>
  <si>
    <t>Reaction distance (m)</t>
  </si>
  <si>
    <t>Braking distance (m)</t>
  </si>
  <si>
    <t>Stopping distance (m)</t>
  </si>
  <si>
    <t>Within sight distance?</t>
  </si>
  <si>
    <t>Rows 1 and 2 use the average loaded speed and the maximum downhill speed from Inputs; rows 3 to 5 are test speeds.</t>
  </si>
  <si>
    <t>Braking distance = v² ÷ (2 g (μ − G)) on a downgrade G. Reaction distance = v × reaction time. Compare the total with the sight distance available on the ramp.</t>
  </si>
  <si>
    <t>Quality and royalty — washability, washing economics and statutory levies</t>
  </si>
  <si>
    <t>Float-and-sink data give the yield at a target ash. Royalty, DMF and NMET replace the flat levy placeholder. SAMPLE DATA: replace the yellow cells with your own float-sink test.</t>
  </si>
  <si>
    <t>A. Float-and-sink (washability) data for the run-of-mine coal</t>
  </si>
  <si>
    <t>Density fraction</t>
  </si>
  <si>
    <t>Upper density (SG)</t>
  </si>
  <si>
    <t>Weight (%)</t>
  </si>
  <si>
    <t>Ash (%)</t>
  </si>
  <si>
    <t>Cumulative float yield (%)</t>
  </si>
  <si>
    <t>Cumulative float ash (%)</t>
  </si>
  <si>
    <t>Ash contribution (% of total)</t>
  </si>
  <si>
    <t>Float 1.3</t>
  </si>
  <si>
    <t>1.3 – 1.4</t>
  </si>
  <si>
    <t>1.4 – 1.5</t>
  </si>
  <si>
    <t>1.5 – 1.6</t>
  </si>
  <si>
    <t>1.6 – 1.8</t>
  </si>
  <si>
    <t>1.8 – 2.0</t>
  </si>
  <si>
    <t>Sink 2.0</t>
  </si>
  <si>
    <t>—</t>
  </si>
  <si>
    <t>Weights must total 100 %. Cumulative float ash = Σ(weight × ash) ÷ cumulative yield. The last row's cumulative ash is the run-of-mine ash.</t>
  </si>
  <si>
    <t>B. Washing result at the target ash</t>
  </si>
  <si>
    <t>Run-of-mine (raw) ash</t>
  </si>
  <si>
    <t>Position on the washability curve</t>
  </si>
  <si>
    <t>index</t>
  </si>
  <si>
    <t>Last float-sink row whose cumulative ash is at or below the target.</t>
  </si>
  <si>
    <t>Interpolation fraction</t>
  </si>
  <si>
    <t>Position between two points of the cumulative curve.</t>
  </si>
  <si>
    <t>Theoretical yield at the target ash</t>
  </si>
  <si>
    <t>Yield of a perfect separation, read off the washability curve.</t>
  </si>
  <si>
    <t>Cut-point density</t>
  </si>
  <si>
    <t>SG</t>
  </si>
  <si>
    <t>Density at which the washery separates clean coal from reject.</t>
  </si>
  <si>
    <t>Near-gravity material, cut-point ± 0.1 SG</t>
  </si>
  <si>
    <t>Material close to the cut density. More of it means harder separation and lower efficiency.</t>
  </si>
  <si>
    <t>Organic efficiency</t>
  </si>
  <si>
    <t>Actual yield ÷ theoretical yield at the same ash.</t>
  </si>
  <si>
    <t>Actual yield at the target ash</t>
  </si>
  <si>
    <t>Reject ash</t>
  </si>
  <si>
    <t>Mass balance on ash: feed = clean + reject.</t>
  </si>
  <si>
    <t>C. Revenue per tonne of run-of-mine coal: wash or sell raw?</t>
  </si>
  <si>
    <t>Raw coal price</t>
  </si>
  <si>
    <t>Selling price in Inputs section 5.</t>
  </si>
  <si>
    <t>Washed coal price</t>
  </si>
  <si>
    <t>Washed yield (fraction of feed)</t>
  </si>
  <si>
    <t>Revenue from washed coal, per tonne of feed</t>
  </si>
  <si>
    <t>Yield × washed price.</t>
  </si>
  <si>
    <t>Value of rejects, per tonne of feed</t>
  </si>
  <si>
    <t>Less: washing cost</t>
  </si>
  <si>
    <t>Net realisation per tonne of ROM coal</t>
  </si>
  <si>
    <t>Benefit of washing over selling raw</t>
  </si>
  <si>
    <t>Positive means washing pays.</t>
  </si>
  <si>
    <t>Break-even washed coal price</t>
  </si>
  <si>
    <t>The washed price at which washing and selling raw earn the same.</t>
  </si>
  <si>
    <t>Selling price used in the model, per tonne of ROM</t>
  </si>
  <si>
    <t>Feeds Economics (coal selling price). Switch on Inputs section 6.</t>
  </si>
  <si>
    <t>D. Statutory levies on coal (mining legislation)</t>
  </si>
  <si>
    <t>Price basis for royalty</t>
  </si>
  <si>
    <t>Royalty is charged on the price of coal. The selling price is used here as a proxy for the notified basic price.</t>
  </si>
  <si>
    <t>Royalty rate</t>
  </si>
  <si>
    <t>ad valorem</t>
  </si>
  <si>
    <t>Royalty</t>
  </si>
  <si>
    <t>Rate × price.</t>
  </si>
  <si>
    <t>District Mineral Foundation (DMF)</t>
  </si>
  <si>
    <t>Percentage of royalty, paid to the district fund.</t>
  </si>
  <si>
    <t>National Mineral Exploration Trust (NMET)</t>
  </si>
  <si>
    <t>Percentage of royalty, paid to the exploration trust.</t>
  </si>
  <si>
    <t>Placeholder: check current notifications.</t>
  </si>
  <si>
    <t>Total statutory levies, built up</t>
  </si>
  <si>
    <t>Flat placeholder (Inputs section 5)</t>
  </si>
  <si>
    <t>The original single-number assumption.</t>
  </si>
  <si>
    <t>Statutory levies used in the model</t>
  </si>
  <si>
    <t>Feeds Economics (royalty and levies). Switch on Inputs section 6.</t>
  </si>
  <si>
    <t>Share of selling price</t>
  </si>
  <si>
    <t>Annual royalty</t>
  </si>
  <si>
    <t>At the production target.</t>
  </si>
  <si>
    <t>Annual DMF + NMET</t>
  </si>
  <si>
    <t>Effective ad valorem rate, royalty + DMF + NMET</t>
  </si>
  <si>
    <t>of price</t>
  </si>
  <si>
    <t>Used by the Sensitivity sheet so levies move with the price.</t>
  </si>
  <si>
    <t>Sources: royalty 14 % ad valorem on coal, MMDR Act 1957 Second Schedule (notified by GSR 349(E), 10 May 2012; Ministry of Coal replies in Parliament, 2020 and draft notification, 2023).</t>
  </si>
  <si>
    <t>DMF is 30 % of royalty for mining leases granted before 12 January 2015 and 10 % for leases granted on or after that date (Ministry of Coal, Lok Sabha reply of 11 March 2020).</t>
  </si>
  <si>
    <t>NMET at 2 % of royalty and the other-levy placeholder were not re-verified here. Check the latest notifications. GST on coal and the former compensation cess are not mine costs and are excluded.</t>
  </si>
  <si>
    <t>Economics — cost per tonne, break-even stripping ratio, project value</t>
  </si>
  <si>
    <t>Costs per unit = machine cost per hour ÷ what the machine produces per hour. Simplified: before tax, constant average stripping ratio.</t>
  </si>
  <si>
    <t>A. Overburden removal cost</t>
  </si>
  <si>
    <t>Drilling and blasting</t>
  </si>
  <si>
    <t>From Inputs.</t>
  </si>
  <si>
    <t>Excavation</t>
  </si>
  <si>
    <t>Excavator cost per hour ÷ BCM it moves per hour.</t>
  </si>
  <si>
    <t>Haulage</t>
  </si>
  <si>
    <t>Dumper cost per hour ÷ BCM it hauls per hour (tonnes per hour ÷ density).</t>
  </si>
  <si>
    <t>Overburden removal cost</t>
  </si>
  <si>
    <t>Sum of the three above.</t>
  </si>
  <si>
    <t>B. Coal winning cost (excluding overburden)</t>
  </si>
  <si>
    <t>Excavator cost per hour ÷ coal tonnes per hour.</t>
  </si>
  <si>
    <t>Dumper cost per hour ÷ coal tonnes per hour.</t>
  </si>
  <si>
    <t>Handling and dispatch</t>
  </si>
  <si>
    <t>Overheads and site costs</t>
  </si>
  <si>
    <t>Royalty and levies</t>
  </si>
  <si>
    <t>From the Quality and royalty sheet: royalty + DMF + NMET + other levies, or the flat placeholder if the switch on Inputs is 0.</t>
  </si>
  <si>
    <t>Coal winning cost</t>
  </si>
  <si>
    <t>Sum of the six lines above.</t>
  </si>
  <si>
    <t>C. Break-even stripping ratio (the key planning number)</t>
  </si>
  <si>
    <t>From the Quality and royalty sheet: raw selling price, or net realisation per tonne of ROM coal if washed coal is selected on Inputs.</t>
  </si>
  <si>
    <t>Margin available to pay for overburden removal</t>
  </si>
  <si>
    <t>Price minus coal winning cost.</t>
  </si>
  <si>
    <t>Break-even stripping ratio</t>
  </si>
  <si>
    <t>Margin ÷ overburden cost per BCM. A block with a higher stripping ratio loses money.</t>
  </si>
  <si>
    <t>Actual stripping ratio, economic blocks</t>
  </si>
  <si>
    <t>From the Reserve sheet. Includes the pit-slope wedge when the switch on Inputs is 1.</t>
  </si>
  <si>
    <t>Verdict at the average stripping ratio</t>
  </si>
  <si>
    <t>Compares actual with break-even.</t>
  </si>
  <si>
    <t>D. Cost, profit and project value</t>
  </si>
  <si>
    <t>All-in cost per tonne of coal</t>
  </si>
  <si>
    <t>Coal winning cost + stripping ratio × overburden cost.</t>
  </si>
  <si>
    <t>Profit per tonne</t>
  </si>
  <si>
    <t>Price minus all-in cost (before tax).</t>
  </si>
  <si>
    <t>Profit margin</t>
  </si>
  <si>
    <t>Profit ÷ price.</t>
  </si>
  <si>
    <t>Annual production</t>
  </si>
  <si>
    <t>Annual revenue</t>
  </si>
  <si>
    <t>1 crore = 10,000,000.</t>
  </si>
  <si>
    <t>Annual cost</t>
  </si>
  <si>
    <t>Annual profit before tax</t>
  </si>
  <si>
    <t>Mine life (economic blocks)</t>
  </si>
  <si>
    <t>From the Reserve sheet.</t>
  </si>
  <si>
    <t>Net present value (NPV)</t>
  </si>
  <si>
    <t>From the Cash flow sheet. Positive means the project earns more than the discount rate.</t>
  </si>
  <si>
    <t>Cash flow — year by year over the mine life</t>
  </si>
  <si>
    <t>Production each year = the smaller of the annual target and the coal still left. Profit is discounted back to today's value.</t>
  </si>
  <si>
    <t>Year</t>
  </si>
  <si>
    <t>Opening reserve (t)</t>
  </si>
  <si>
    <t>Production (t)</t>
  </si>
  <si>
    <t>Closing reserve (t)</t>
  </si>
  <si>
    <t>Revenue (₹ crore)</t>
  </si>
  <si>
    <t>Cost (₹ crore)</t>
  </si>
  <si>
    <t>Cash flow (₹ crore)</t>
  </si>
  <si>
    <t>Discount factor</t>
  </si>
  <si>
    <t>Present value (₹ crore)</t>
  </si>
  <si>
    <t>Sum of present values (₹ crore)</t>
  </si>
  <si>
    <t>Less: non-equipment capital cost (₹ crore)</t>
  </si>
  <si>
    <t>Net present value, NPV (₹ crore)</t>
  </si>
  <si>
    <t>If the mine life is longer than 10 years, extend the table by copying the last row down.</t>
  </si>
  <si>
    <t>Mine planning — Taylor's rule, effective cut-off stripping ratio and daily material movement</t>
  </si>
  <si>
    <t>Is the production target sensible for the reserve? Does the pit-slope burden change which blocks are worth mining? How much must move each day?</t>
  </si>
  <si>
    <t>A. Taylor's rule for mine life and production rate</t>
  </si>
  <si>
    <t>Recoverable reserve, economic blocks</t>
  </si>
  <si>
    <t>million t</t>
  </si>
  <si>
    <t>Taylor mine life, T = 0.2 × (reserve in tonnes)^0.25</t>
  </si>
  <si>
    <t>Empirical rule from metal mines (about ±25 %). Treat it as a sense-check, not a design.</t>
  </si>
  <si>
    <t>Taylor optimum production rate</t>
  </si>
  <si>
    <t>million t/yr</t>
  </si>
  <si>
    <t>Reserve ÷ Taylor life.</t>
  </si>
  <si>
    <t>Range for life + 25 % (slower)</t>
  </si>
  <si>
    <t>Lower end of the acceptable production range.</t>
  </si>
  <si>
    <t>Range for life − 25 % (faster)</t>
  </si>
  <si>
    <t>Upper end of the acceptable production range.</t>
  </si>
  <si>
    <t>Your production target</t>
  </si>
  <si>
    <t>Inputs section 1.</t>
  </si>
  <si>
    <t>Your mine life</t>
  </si>
  <si>
    <t>Target ÷ Taylor optimum</t>
  </si>
  <si>
    <t>Above range: fast, capital-heavy and short-lived. Below range: slow and long-lived.</t>
  </si>
  <si>
    <t>B. Fleet implied by your target and by the Taylor rate</t>
  </si>
  <si>
    <t>Your target</t>
  </si>
  <si>
    <t>Taylor optimum</t>
  </si>
  <si>
    <t>Coal production</t>
  </si>
  <si>
    <t>Mine life</t>
  </si>
  <si>
    <t>Scaled in proportion to production.</t>
  </si>
  <si>
    <t>Excavators required</t>
  </si>
  <si>
    <t>Dumpers required</t>
  </si>
  <si>
    <t>Equipment capital</t>
  </si>
  <si>
    <t>₹ crore. A faster rate needs more machines up front but pays back sooner.</t>
  </si>
  <si>
    <t>C. Effective cut-off stripping ratio: break-even less the pit-slope burden</t>
  </si>
  <si>
    <t>A block above this loses money on its own overburden.</t>
  </si>
  <si>
    <t>Pit-slope burden on the stripping ratio</t>
  </si>
  <si>
    <t>Extra wall rock spread over the economic coal. Zero if the wedge switch is off.</t>
  </si>
  <si>
    <t>Effective cut-off stripping ratio</t>
  </si>
  <si>
    <t>What is left for a block's own overburden once the walls are paid for.</t>
  </si>
  <si>
    <t>Blocks at or below break-even</t>
  </si>
  <si>
    <t>Block-only test used on the Reserve sheet.</t>
  </si>
  <si>
    <t>Blocks at or below the effective cut-off</t>
  </si>
  <si>
    <t>Stricter test. If lower, re-run the pit limit: marginal blocks cannot carry the wall rock.</t>
  </si>
  <si>
    <t>Blocks that are marginal</t>
  </si>
  <si>
    <t>D. Daily material movement for the target</t>
  </si>
  <si>
    <t>Coal to produce per working day</t>
  </si>
  <si>
    <t>t/day</t>
  </si>
  <si>
    <t>Overburden to remove per working day</t>
  </si>
  <si>
    <t>BCM/day</t>
  </si>
  <si>
    <t>From the Fleet sheet quantity, including the pit-slope wedge.</t>
  </si>
  <si>
    <t>Overburden per shift</t>
  </si>
  <si>
    <t>BCM/shift</t>
  </si>
  <si>
    <t>Total material moved per working day</t>
  </si>
  <si>
    <t>Overburden plus coal, in tonnes.</t>
  </si>
  <si>
    <t>Finance — depreciation, tax, post-tax NPV, IRR and payback</t>
  </si>
  <si>
    <t>Equipment capital is explicit here, so ownership cost is removed from cash cost and replaced by depreciation. Before tax, this differs from the Cash flow sheet, which keeps ownership inside the hourly rates.</t>
  </si>
  <si>
    <t>A. Capital, cash cost and settings</t>
  </si>
  <si>
    <t>From the Fleet sheet.</t>
  </si>
  <si>
    <t>Excavator price, each</t>
  </si>
  <si>
    <t>Dumper price, each</t>
  </si>
  <si>
    <t>Depreciable base.</t>
  </si>
  <si>
    <t>Non-equipment capital</t>
  </si>
  <si>
    <t>Land, roads, infrastructure, clearances. Not depreciated here.</t>
  </si>
  <si>
    <t>Total capital at year 0</t>
  </si>
  <si>
    <t>Ownership cost inside the all-in cost</t>
  </si>
  <si>
    <t>Share × machine cost (excavation + haulage) of overburden and coal per tonne.</t>
  </si>
  <si>
    <t>All-in cost per tonne (Economics)</t>
  </si>
  <si>
    <t>Cash operating cost per tonne</t>
  </si>
  <si>
    <t>All-in cost without ownership: capital and depreciation are handled below.</t>
  </si>
  <si>
    <t>Closure year</t>
  </si>
  <si>
    <t>year</t>
  </si>
  <si>
    <t>Mine life rounded up. Equipment is sold at the end of this year.</t>
  </si>
  <si>
    <t>1 = straight line, 2 = written-down value, 3 = units of production.</t>
  </si>
  <si>
    <t>Tax rate</t>
  </si>
  <si>
    <t>Placeholder: set the current rate on Inputs.</t>
  </si>
  <si>
    <t>B. Year-by-year cash flow after depreciation and tax (₹ crore, except production in tonnes)</t>
  </si>
  <si>
    <t>Revenue</t>
  </si>
  <si>
    <t>Cash operating cost</t>
  </si>
  <si>
    <t>EBITDA</t>
  </si>
  <si>
    <t>Opening book value</t>
  </si>
  <si>
    <t>Depreciation</t>
  </si>
  <si>
    <t>Closing book value</t>
  </si>
  <si>
    <t>Equipment sale proceeds</t>
  </si>
  <si>
    <t>Loss on sale</t>
  </si>
  <si>
    <t>Taxable profit</t>
  </si>
  <si>
    <t>Tax</t>
  </si>
  <si>
    <t>Capital spend</t>
  </si>
  <si>
    <t>Pre-tax cash flow</t>
  </si>
  <si>
    <t>Post-tax cash flow</t>
  </si>
  <si>
    <t>PV of post-tax cash flow</t>
  </si>
  <si>
    <t>Cumulative post-tax cash flow</t>
  </si>
  <si>
    <t>Payback helper</t>
  </si>
  <si>
    <t>Tax is charged on EBITDA less depreciation and any loss on selling the equipment, with no carry-forward of losses. Units of production spreads the cost over tonnes mined and leaves no book value at closure.</t>
  </si>
  <si>
    <t>C. Project value</t>
  </si>
  <si>
    <t>Net present value, post-tax</t>
  </si>
  <si>
    <t>Sum of discounted post-tax cash flows, including the year-0 capital.</t>
  </si>
  <si>
    <t>Check: Excel NPV function</t>
  </si>
  <si>
    <t>Must equal the line above.</t>
  </si>
  <si>
    <t>Net present value, pre-tax, explicit capital</t>
  </si>
  <si>
    <t>Same cash flows before tax.</t>
  </si>
  <si>
    <t>Net present value, pre-tax, Cash flow sheet</t>
  </si>
  <si>
    <t>Ownership cost left inside the hourly rates and no equipment capital. The two pre-tax figures differ only in how equipment is treated.</t>
  </si>
  <si>
    <t>Internal rate of return, post-tax</t>
  </si>
  <si>
    <t>Discount rate at which the NPV is zero.</t>
  </si>
  <si>
    <t>Internal rate of return, pre-tax</t>
  </si>
  <si>
    <t>Payback period, post-tax</t>
  </si>
  <si>
    <t>Time for cumulative post-tax cash flow to turn positive (undiscounted, even cash flow within a year).</t>
  </si>
  <si>
    <t>Profitability index</t>
  </si>
  <si>
    <t>PV of future cash flows ÷ capital. Above 1 creates value.</t>
  </si>
  <si>
    <t>Total tax paid</t>
  </si>
  <si>
    <t>PV of the depreciation tax shield</t>
  </si>
  <si>
    <t>Tax saved because depreciation is deductible, discounted to today.</t>
  </si>
  <si>
    <t>Summary — the answers on one page</t>
  </si>
  <si>
    <t>All values are pulled from the other sheets. Do not type here.</t>
  </si>
  <si>
    <t>Result</t>
  </si>
  <si>
    <t>How to say it in a viva</t>
  </si>
  <si>
    <t>Reserve</t>
  </si>
  <si>
    <t>The pit holds this much coal before losses.</t>
  </si>
  <si>
    <t>What we can actually mine at a profit.</t>
  </si>
  <si>
    <t>Overall stripping ratio, all blocks</t>
  </si>
  <si>
    <t>Cubic metres of overburden to remove per tonne of coal.</t>
  </si>
  <si>
    <t>Economic blocks</t>
  </si>
  <si>
    <t>of 20</t>
  </si>
  <si>
    <t>Blocks whose stripping ratio is below the break-even.</t>
  </si>
  <si>
    <t>The ratio we actually plan to mine at.</t>
  </si>
  <si>
    <t>Recoverable coal ÷ yearly target.</t>
  </si>
  <si>
    <t>Fleet</t>
  </si>
  <si>
    <t>Hours needed ÷ hours per machine, rounded up.</t>
  </si>
  <si>
    <t>Same method; depends on haul distance and payload.</t>
  </si>
  <si>
    <t>Economics</t>
  </si>
  <si>
    <t>Drill-blast + excavation + haulage.</t>
  </si>
  <si>
    <t>Coal winning cost (excl. overburden)</t>
  </si>
  <si>
    <t>Everything to produce a tonne except stripping.</t>
  </si>
  <si>
    <t>(Price − coal cost) ÷ overburden cost. The most you can afford to strip.</t>
  </si>
  <si>
    <t>All-in cost per tonne</t>
  </si>
  <si>
    <t>Coal cost + stripping ratio × overburden cost.</t>
  </si>
  <si>
    <t>Assumed price.</t>
  </si>
  <si>
    <t>Price − all-in cost, before tax.</t>
  </si>
  <si>
    <t>Profit per tonne × yearly production.</t>
  </si>
  <si>
    <t>Net present value (NPV), pre-tax</t>
  </si>
  <si>
    <t>Ownership cost sits inside the hourly rates. Post-tax NPV is under Finance.</t>
  </si>
  <si>
    <t>Average stripping ratio vs break-even.</t>
  </si>
  <si>
    <t>Geostatistics</t>
  </si>
  <si>
    <t>Kriged coal seam thickness at the target point</t>
  </si>
  <si>
    <t>Ordinary kriging of trend residuals at the point set on Inputs.</t>
  </si>
  <si>
    <t>Kriging standard deviation × 1.96.</t>
  </si>
  <si>
    <t>Relative kriging error</t>
  </si>
  <si>
    <t>Smaller means the point is well supported by nearby boreholes.</t>
  </si>
  <si>
    <t>Pit design</t>
  </si>
  <si>
    <t>Overall slope, deepest wall</t>
  </si>
  <si>
    <t>From bench height, face angle and berm width.</t>
  </si>
  <si>
    <t>million BCM</t>
  </si>
  <si>
    <t>Wall rock that no borehole shows.</t>
  </si>
  <si>
    <t>The ratio actually used for fleet and cost.</t>
  </si>
  <si>
    <t>Planar-failure factor of safety</t>
  </si>
  <si>
    <t>Resisting ÷ driving force on the failure plane.</t>
  </si>
  <si>
    <t>Slope stability verdict</t>
  </si>
  <si>
    <t>Against the target factor of safety on Inputs.</t>
  </si>
  <si>
    <t>Mine planning</t>
  </si>
  <si>
    <t>Empirical rule: a sense-check on the target.</t>
  </si>
  <si>
    <t>Above 1.33 is faster than the Taylor range.</t>
  </si>
  <si>
    <t>Break-even less the pit-slope burden.</t>
  </si>
  <si>
    <t>Blocks passing the effective cut-off</t>
  </si>
  <si>
    <t>Compare with economic blocks above.</t>
  </si>
  <si>
    <t>Quality and statutory levies</t>
  </si>
  <si>
    <t>Run-of-mine ash</t>
  </si>
  <si>
    <t>From the float-and-sink data.</t>
  </si>
  <si>
    <t>Theoretical yield × organic efficiency.</t>
  </si>
  <si>
    <t>₹/t ROM</t>
  </si>
  <si>
    <t>Negative means sell raw coal.</t>
  </si>
  <si>
    <t>Royalty + DMF + NMET + other, or the flat placeholder.</t>
  </si>
  <si>
    <t>Safety</t>
  </si>
  <si>
    <t>Predicted ground vibration (PPV)</t>
  </si>
  <si>
    <t>Scaled-distance law at the nearest structure.</t>
  </si>
  <si>
    <t>Permissible PPV (DGMS)</t>
  </si>
  <si>
    <t>For the structure type and frequency band chosen.</t>
  </si>
  <si>
    <t>Vibration status</t>
  </si>
  <si>
    <t>Closest a structure can be at the permissible PPV.</t>
  </si>
  <si>
    <t>Finance</t>
  </si>
  <si>
    <t>Equipment plus non-equipment capital.</t>
  </si>
  <si>
    <t>NPV, post-tax</t>
  </si>
  <si>
    <t>After depreciation and tax; equipment capital explicit.</t>
  </si>
  <si>
    <t>IRR, post-tax</t>
  </si>
  <si>
    <t>Rate at which the post-tax NPV is zero.</t>
  </si>
  <si>
    <t>Undiscounted.</t>
  </si>
  <si>
    <t>Largest NPV driver</t>
  </si>
  <si>
    <t>From the Sensitivity tornado.</t>
  </si>
  <si>
    <t>Questions to practise answering out loud</t>
  </si>
  <si>
    <t>•  Why is the stripping ratio the key number in opencast planning?</t>
  </si>
  <si>
    <t>•  How did you decide which blocks to mine and which to leave?</t>
  </si>
  <si>
    <t>•  What is the break-even stripping ratio and how did you calculate it?</t>
  </si>
  <si>
    <t>•  How many dumpers per excavator did you need, and why that number?</t>
  </si>
  <si>
    <t>•  Which input moves the NPV the most? Test coal price, haul distance and recovery.</t>
  </si>
  <si>
    <t>•  What does your model ignore, and how would real planning software handle it?</t>
  </si>
  <si>
    <t>•  How does a pit slope add to the stripping ratio, and what limits how steep the wall can be?</t>
  </si>
  <si>
    <t>•  What does the kriging variance tell you that a polygon estimate does not?</t>
  </si>
  <si>
    <t>•  Why is depreciation deducted for tax but not from cash flow?</t>
  </si>
  <si>
    <t>•  How are royalty, DMF and NMET calculated, and how much of the coal price do they take?</t>
  </si>
  <si>
    <t>•  How do you decide whether to wash coal, and what is organic efficiency?</t>
  </si>
  <si>
    <t>•  How do you keep ground vibration within the DGMS limit at a nearby village?</t>
  </si>
  <si>
    <t>National Mineral Exploration Trust, 3 % of royalty under the MMDR Act. Verify before relying on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</si>
</sst>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00"/>
    <numFmt numFmtId="169" formatCode="0.0000"/>
  </numFmts>
  <fonts count="12" x14ac:knownFonts="1">
    <font>
      <sz val="11"/>
      <color theme="1"/>
      <name val="Calibri"/>
      <family val="2"/>
      <charset val="1"/>
    </font>
    <font>
      <b/>
      <sz val="14"/>
      <color rgb="FF1A5F7A"/>
      <name val="Arial"/>
      <charset val="1"/>
    </font>
    <font>
      <sz val="10"/>
      <color rgb="FF000000"/>
      <name val="Arial"/>
      <charset val="1"/>
    </font>
    <font>
      <b/>
      <sz val="10"/>
      <color rgb="FF1A5F7A"/>
      <name val="Arial"/>
      <charset val="1"/>
    </font>
    <font>
      <b/>
      <sz val="10"/>
      <color rgb="FF9C2B00"/>
      <name val="Arial"/>
      <charset val="1"/>
    </font>
    <font>
      <sz val="11"/>
      <color theme="1"/>
      <name val="Arial"/>
      <charset val="1"/>
    </font>
    <font>
      <sz val="9"/>
      <color rgb="FF6B7280"/>
      <name val="Arial"/>
      <charset val="1"/>
    </font>
    <font>
      <b/>
      <sz val="10"/>
      <color rgb="FFFFFFFF"/>
      <name val="Arial"/>
      <charset val="1"/>
    </font>
    <font>
      <sz val="10"/>
      <color rgb="FF0000FF"/>
      <name val="Arial"/>
      <charset val="1"/>
    </font>
    <font>
      <b/>
      <sz val="10"/>
      <color rgb="FF000000"/>
      <name val="Arial"/>
      <charset val="1"/>
    </font>
    <font>
      <b/>
      <sz val="10"/>
      <color rgb="FF008000"/>
      <name val="Arial"/>
      <charset val="1"/>
    </font>
    <font>
      <sz val="10"/>
      <color rgb="FF008000"/>
      <name val="Arial"/>
      <charset val="1"/>
    </font>
  </fonts>
  <fills count="7">
    <fill>
      <patternFill patternType="none"/>
    </fill>
    <fill>
      <patternFill patternType="gray125"/>
    </fill>
    <fill>
      <patternFill patternType="solid">
        <fgColor rgb="FFE8F4F8"/>
        <bgColor rgb="FFE7F3E4"/>
      </patternFill>
    </fill>
    <fill>
      <patternFill patternType="solid">
        <fgColor rgb="FFFDECE4"/>
        <bgColor rgb="FFFFF2CC"/>
      </patternFill>
    </fill>
    <fill>
      <patternFill patternType="solid">
        <fgColor rgb="FF1A5F7A"/>
        <bgColor rgb="FF008080"/>
      </patternFill>
    </fill>
    <fill>
      <patternFill patternType="solid">
        <fgColor rgb="FFFFF2CC"/>
        <bgColor rgb="FFFDECE4"/>
      </patternFill>
    </fill>
    <fill>
      <patternFill patternType="solid">
        <fgColor rgb="FFE7F3E4"/>
        <bgColor rgb="FFE8F4F8"/>
      </patternFill>
    </fill>
  </fills>
  <borders count="2">
    <border>
      <left/>
      <right/>
      <top/>
      <bottom/>
      <diagonal/>
    </border>
    <border>
      <left/>
      <right/>
      <top/>
      <bottom style="thin">
        <color rgb="FFD9DEE3"/>
      </bottom>
      <diagonal/>
    </border>
  </borders>
  <cellStyleXfs count="1">
    <xf numFmtId="0" fontId="0" fillId="0" borderId="0"/>
  </cellStyleXfs>
  <cellXfs count="125">
    <xf numFmtId="0" fontId="0" fillId="0" borderId="0" xfId="0"/>
    <xf numFmtId="0" fontId="2" fillId="0" borderId="0" xfId="0" applyFont="1" applyAlignment="1">
      <alignment vertical="top" wrapText="1"/>
    </xf>
    <xf numFmtId="0" fontId="6" fillId="0" borderId="1" xfId="0" applyFont="1" applyBorder="1" applyAlignment="1">
      <alignment vertical="center"/>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0" xfId="0" applyFont="1" applyFill="1" applyAlignment="1">
      <alignment vertical="top" wrapText="1"/>
    </xf>
    <xf numFmtId="0" fontId="1" fillId="0" borderId="0" xfId="0" applyFont="1"/>
    <xf numFmtId="0" fontId="5" fillId="0" borderId="0" xfId="0" applyFont="1"/>
    <xf numFmtId="0" fontId="6" fillId="0" borderId="0" xfId="0" applyFont="1"/>
    <xf numFmtId="0" fontId="7" fillId="4" borderId="0" xfId="0" applyFont="1" applyFill="1" applyAlignment="1">
      <alignment horizontal="center" vertical="center" wrapText="1"/>
    </xf>
    <xf numFmtId="0" fontId="3" fillId="2" borderId="0" xfId="0" applyFont="1" applyFill="1" applyAlignment="1">
      <alignment vertical="center"/>
    </xf>
    <xf numFmtId="0" fontId="5" fillId="2" borderId="0" xfId="0" applyFont="1" applyFill="1"/>
    <xf numFmtId="0" fontId="2" fillId="0" borderId="1" xfId="0" applyFont="1" applyBorder="1" applyAlignment="1">
      <alignment vertical="center"/>
    </xf>
    <xf numFmtId="3" fontId="8" fillId="5" borderId="1" xfId="0" applyNumberFormat="1" applyFont="1" applyFill="1" applyBorder="1" applyAlignment="1">
      <alignment horizontal="right" vertical="center"/>
    </xf>
    <xf numFmtId="0" fontId="6" fillId="0" borderId="1" xfId="0" applyFont="1" applyBorder="1" applyAlignment="1">
      <alignment vertical="center"/>
    </xf>
    <xf numFmtId="0" fontId="6" fillId="0" borderId="1" xfId="0" applyFont="1" applyBorder="1" applyAlignment="1">
      <alignment vertical="center" wrapText="1"/>
    </xf>
    <xf numFmtId="2" fontId="8" fillId="5" borderId="1" xfId="0" applyNumberFormat="1" applyFont="1" applyFill="1" applyBorder="1" applyAlignment="1">
      <alignment horizontal="right" vertical="center"/>
    </xf>
    <xf numFmtId="164" fontId="8" fillId="5" borderId="1" xfId="0" applyNumberFormat="1" applyFont="1" applyFill="1" applyBorder="1" applyAlignment="1">
      <alignment horizontal="right" vertical="center"/>
    </xf>
    <xf numFmtId="1" fontId="8" fillId="5" borderId="1" xfId="0" applyNumberFormat="1" applyFont="1" applyFill="1" applyBorder="1" applyAlignment="1">
      <alignment horizontal="right" vertical="center"/>
    </xf>
    <xf numFmtId="165" fontId="8" fillId="5" borderId="1" xfId="0" applyNumberFormat="1" applyFont="1" applyFill="1" applyBorder="1" applyAlignment="1">
      <alignment horizontal="right" vertical="center"/>
    </xf>
    <xf numFmtId="166" fontId="8" fillId="5" borderId="1" xfId="0" applyNumberFormat="1" applyFont="1" applyFill="1" applyBorder="1" applyAlignment="1">
      <alignment horizontal="right" vertical="center"/>
    </xf>
    <xf numFmtId="167" fontId="8" fillId="5" borderId="1" xfId="0" applyNumberFormat="1" applyFont="1" applyFill="1" applyBorder="1" applyAlignment="1">
      <alignment horizontal="right" vertical="center"/>
    </xf>
    <xf numFmtId="9" fontId="8" fillId="5" borderId="1" xfId="0" applyNumberFormat="1" applyFont="1" applyFill="1" applyBorder="1" applyAlignment="1">
      <alignment horizontal="right" vertical="center"/>
    </xf>
    <xf numFmtId="164" fontId="8" fillId="5" borderId="1" xfId="0" applyNumberFormat="1" applyFont="1" applyFill="1" applyBorder="1" applyAlignment="1">
      <alignment vertical="center"/>
    </xf>
    <xf numFmtId="3" fontId="2" fillId="0" borderId="1" xfId="0" applyNumberFormat="1" applyFont="1" applyBorder="1" applyAlignment="1">
      <alignment vertical="center"/>
    </xf>
    <xf numFmtId="2" fontId="2" fillId="0" borderId="1" xfId="0" applyNumberFormat="1" applyFont="1" applyBorder="1" applyAlignment="1">
      <alignment vertical="center"/>
    </xf>
    <xf numFmtId="0" fontId="2" fillId="0" borderId="1" xfId="0" applyFont="1" applyBorder="1" applyAlignment="1">
      <alignment horizontal="center" vertical="center"/>
    </xf>
    <xf numFmtId="0" fontId="9" fillId="2" borderId="0" xfId="0" applyFont="1" applyFill="1" applyAlignment="1">
      <alignment vertical="center"/>
    </xf>
    <xf numFmtId="164" fontId="9" fillId="2" borderId="0" xfId="0" applyNumberFormat="1" applyFont="1" applyFill="1" applyAlignment="1">
      <alignment vertical="center"/>
    </xf>
    <xf numFmtId="3" fontId="9" fillId="2" borderId="0" xfId="0" applyNumberFormat="1" applyFont="1" applyFill="1" applyAlignment="1">
      <alignment vertical="center"/>
    </xf>
    <xf numFmtId="2" fontId="9" fillId="2" borderId="0" xfId="0" applyNumberFormat="1" applyFont="1" applyFill="1" applyAlignment="1">
      <alignment vertical="center"/>
    </xf>
    <xf numFmtId="0" fontId="9" fillId="2" borderId="0" xfId="0" applyFont="1" applyFill="1" applyAlignment="1">
      <alignment horizontal="center" vertical="center"/>
    </xf>
    <xf numFmtId="0" fontId="6" fillId="0" borderId="0" xfId="0" applyFont="1" applyAlignment="1">
      <alignment vertical="center"/>
    </xf>
    <xf numFmtId="164" fontId="2" fillId="0" borderId="1" xfId="0" applyNumberFormat="1" applyFont="1" applyBorder="1" applyAlignment="1">
      <alignment vertical="center"/>
    </xf>
    <xf numFmtId="1" fontId="2" fillId="0" borderId="1" xfId="0" applyNumberFormat="1" applyFont="1" applyBorder="1" applyAlignment="1">
      <alignment vertical="center"/>
    </xf>
    <xf numFmtId="0" fontId="9" fillId="0" borderId="1" xfId="0" applyFont="1" applyBorder="1" applyAlignment="1">
      <alignment vertical="center"/>
    </xf>
    <xf numFmtId="2" fontId="10" fillId="0" borderId="1" xfId="0" applyNumberFormat="1" applyFont="1" applyBorder="1" applyAlignment="1">
      <alignment vertical="center"/>
    </xf>
    <xf numFmtId="3" fontId="9" fillId="0" borderId="1" xfId="0" applyNumberFormat="1" applyFont="1" applyBorder="1" applyAlignment="1">
      <alignment vertical="center"/>
    </xf>
    <xf numFmtId="164" fontId="9" fillId="0" borderId="1" xfId="0" applyNumberFormat="1" applyFont="1" applyBorder="1" applyAlignment="1">
      <alignment vertical="center"/>
    </xf>
    <xf numFmtId="0" fontId="3" fillId="2" borderId="0" xfId="0" applyFont="1" applyFill="1"/>
    <xf numFmtId="0" fontId="11" fillId="0" borderId="1" xfId="0" applyFont="1" applyBorder="1"/>
    <xf numFmtId="3" fontId="2" fillId="0" borderId="1" xfId="0" applyNumberFormat="1" applyFont="1" applyBorder="1" applyAlignment="1">
      <alignment horizontal="right"/>
    </xf>
    <xf numFmtId="2" fontId="11" fillId="0" borderId="1" xfId="0" applyNumberFormat="1" applyFont="1" applyBorder="1" applyAlignment="1">
      <alignment horizontal="right"/>
    </xf>
    <xf numFmtId="164" fontId="11" fillId="0" borderId="1" xfId="0" applyNumberFormat="1" applyFont="1" applyBorder="1" applyAlignment="1">
      <alignment horizontal="right"/>
    </xf>
    <xf numFmtId="2" fontId="2" fillId="0" borderId="1" xfId="0" applyNumberFormat="1" applyFont="1" applyBorder="1" applyAlignment="1">
      <alignment horizontal="right"/>
    </xf>
    <xf numFmtId="164" fontId="2" fillId="0" borderId="1" xfId="0" applyNumberFormat="1" applyFont="1" applyBorder="1" applyAlignment="1">
      <alignment horizontal="right"/>
    </xf>
    <xf numFmtId="0" fontId="2" fillId="0" borderId="1" xfId="0" applyFont="1" applyBorder="1"/>
    <xf numFmtId="166" fontId="2" fillId="0" borderId="1" xfId="0" applyNumberFormat="1" applyFont="1" applyBorder="1" applyAlignment="1">
      <alignment horizontal="right"/>
    </xf>
    <xf numFmtId="168" fontId="2" fillId="0" borderId="1" xfId="0" applyNumberFormat="1" applyFont="1" applyBorder="1" applyAlignment="1">
      <alignment horizontal="right"/>
    </xf>
    <xf numFmtId="1" fontId="2" fillId="0" borderId="1" xfId="0" applyNumberFormat="1" applyFont="1" applyBorder="1" applyAlignment="1">
      <alignment horizontal="center"/>
    </xf>
    <xf numFmtId="1" fontId="2" fillId="0" borderId="1" xfId="0" applyNumberFormat="1" applyFont="1" applyBorder="1" applyAlignment="1">
      <alignment horizontal="right"/>
    </xf>
    <xf numFmtId="165" fontId="2" fillId="0" borderId="1" xfId="0" applyNumberFormat="1" applyFont="1" applyBorder="1" applyAlignment="1">
      <alignment horizontal="right"/>
    </xf>
    <xf numFmtId="0" fontId="9" fillId="2" borderId="1" xfId="0" applyFont="1" applyFill="1" applyBorder="1"/>
    <xf numFmtId="0" fontId="9" fillId="2" borderId="1" xfId="0" applyFont="1" applyFill="1" applyBorder="1" applyAlignment="1">
      <alignment horizontal="right"/>
    </xf>
    <xf numFmtId="1" fontId="9" fillId="2" borderId="1" xfId="0" applyNumberFormat="1" applyFont="1" applyFill="1" applyBorder="1" applyAlignment="1">
      <alignment horizontal="right"/>
    </xf>
    <xf numFmtId="166" fontId="9" fillId="2" borderId="1" xfId="0" applyNumberFormat="1" applyFont="1" applyFill="1" applyBorder="1" applyAlignment="1">
      <alignment horizontal="right"/>
    </xf>
    <xf numFmtId="0" fontId="6" fillId="0" borderId="1" xfId="0" applyFont="1" applyBorder="1"/>
    <xf numFmtId="3" fontId="11" fillId="0" borderId="1" xfId="0" applyNumberFormat="1" applyFont="1" applyBorder="1" applyAlignment="1">
      <alignment horizontal="right"/>
    </xf>
    <xf numFmtId="0" fontId="2" fillId="0" borderId="1" xfId="0" applyFont="1" applyBorder="1" applyAlignment="1">
      <alignment horizontal="right"/>
    </xf>
    <xf numFmtId="169" fontId="2" fillId="0" borderId="1" xfId="0" applyNumberFormat="1" applyFont="1" applyBorder="1" applyAlignment="1">
      <alignment horizontal="right"/>
    </xf>
    <xf numFmtId="2" fontId="9" fillId="6" borderId="1" xfId="0" applyNumberFormat="1" applyFont="1" applyFill="1" applyBorder="1" applyAlignment="1">
      <alignment horizontal="right"/>
    </xf>
    <xf numFmtId="167" fontId="2" fillId="0" borderId="1" xfId="0" applyNumberFormat="1" applyFont="1" applyBorder="1" applyAlignment="1">
      <alignment horizontal="right"/>
    </xf>
    <xf numFmtId="0" fontId="3" fillId="0" borderId="0" xfId="0" applyFont="1"/>
    <xf numFmtId="1" fontId="11" fillId="0" borderId="1" xfId="0" applyNumberFormat="1" applyFont="1" applyBorder="1" applyAlignment="1">
      <alignment horizontal="center"/>
    </xf>
    <xf numFmtId="1" fontId="9" fillId="2" borderId="1" xfId="0" applyNumberFormat="1" applyFont="1" applyFill="1" applyBorder="1" applyAlignment="1">
      <alignment horizontal="center"/>
    </xf>
    <xf numFmtId="3" fontId="9" fillId="2" borderId="1" xfId="0" applyNumberFormat="1" applyFont="1" applyFill="1" applyBorder="1" applyAlignment="1">
      <alignment horizontal="right"/>
    </xf>
    <xf numFmtId="164" fontId="9" fillId="2" borderId="1" xfId="0" applyNumberFormat="1" applyFont="1" applyFill="1" applyBorder="1" applyAlignment="1">
      <alignment horizontal="right"/>
    </xf>
    <xf numFmtId="1" fontId="11" fillId="0" borderId="1" xfId="0" applyNumberFormat="1" applyFont="1" applyBorder="1" applyAlignment="1">
      <alignment horizontal="right"/>
    </xf>
    <xf numFmtId="0" fontId="9" fillId="6" borderId="1" xfId="0" applyFont="1" applyFill="1" applyBorder="1" applyAlignment="1">
      <alignment horizontal="right"/>
    </xf>
    <xf numFmtId="1" fontId="8" fillId="5" borderId="1" xfId="0" applyNumberFormat="1" applyFont="1" applyFill="1" applyBorder="1" applyAlignment="1">
      <alignment horizontal="right"/>
    </xf>
    <xf numFmtId="0" fontId="2" fillId="0" borderId="1" xfId="0" applyFont="1" applyBorder="1" applyAlignment="1">
      <alignment horizontal="center"/>
    </xf>
    <xf numFmtId="1" fontId="9" fillId="6" borderId="1" xfId="0" applyNumberFormat="1" applyFont="1" applyFill="1" applyBorder="1" applyAlignment="1">
      <alignment horizontal="right"/>
    </xf>
    <xf numFmtId="2" fontId="11" fillId="0" borderId="1" xfId="0" applyNumberFormat="1" applyFont="1" applyBorder="1" applyAlignment="1">
      <alignment horizontal="right" vertical="center"/>
    </xf>
    <xf numFmtId="166" fontId="2" fillId="0" borderId="1" xfId="0" applyNumberFormat="1" applyFont="1" applyBorder="1" applyAlignment="1">
      <alignment horizontal="right" vertical="center"/>
    </xf>
    <xf numFmtId="2"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164" fontId="11" fillId="0" borderId="1" xfId="0" applyNumberFormat="1" applyFont="1" applyBorder="1" applyAlignment="1">
      <alignment horizontal="right" vertical="center"/>
    </xf>
    <xf numFmtId="1" fontId="2" fillId="0" borderId="1" xfId="0" applyNumberFormat="1" applyFont="1" applyBorder="1" applyAlignment="1">
      <alignment horizontal="right" vertical="center"/>
    </xf>
    <xf numFmtId="3" fontId="2" fillId="0" borderId="1" xfId="0" applyNumberFormat="1" applyFont="1" applyBorder="1" applyAlignment="1">
      <alignment horizontal="right" vertical="center"/>
    </xf>
    <xf numFmtId="0" fontId="5" fillId="0" borderId="1" xfId="0" applyFont="1" applyBorder="1"/>
    <xf numFmtId="1" fontId="9" fillId="6" borderId="1" xfId="0" applyNumberFormat="1" applyFont="1" applyFill="1" applyBorder="1" applyAlignment="1">
      <alignment horizontal="right" vertical="center"/>
    </xf>
    <xf numFmtId="9" fontId="2" fillId="0" borderId="1" xfId="0" applyNumberFormat="1" applyFont="1" applyBorder="1" applyAlignment="1">
      <alignment horizontal="right" vertical="center"/>
    </xf>
    <xf numFmtId="164" fontId="9" fillId="6" borderId="1" xfId="0" applyNumberFormat="1" applyFont="1" applyFill="1" applyBorder="1" applyAlignment="1">
      <alignment horizontal="right"/>
    </xf>
    <xf numFmtId="9" fontId="2" fillId="0" borderId="1" xfId="0" applyNumberFormat="1" applyFont="1" applyBorder="1" applyAlignment="1">
      <alignment horizontal="right"/>
    </xf>
    <xf numFmtId="0" fontId="8" fillId="5" borderId="1" xfId="0" applyFont="1" applyFill="1" applyBorder="1"/>
    <xf numFmtId="2" fontId="8" fillId="5" borderId="1" xfId="0" applyNumberFormat="1" applyFont="1" applyFill="1" applyBorder="1" applyAlignment="1">
      <alignment horizontal="right"/>
    </xf>
    <xf numFmtId="164" fontId="8" fillId="5" borderId="1" xfId="0" applyNumberFormat="1" applyFont="1" applyFill="1" applyBorder="1" applyAlignment="1">
      <alignment horizontal="right"/>
    </xf>
    <xf numFmtId="2" fontId="9" fillId="2" borderId="1" xfId="0" applyNumberFormat="1" applyFont="1" applyFill="1" applyBorder="1" applyAlignment="1">
      <alignment horizontal="right"/>
    </xf>
    <xf numFmtId="3" fontId="9" fillId="6" borderId="1" xfId="0" applyNumberFormat="1" applyFont="1" applyFill="1" applyBorder="1" applyAlignment="1">
      <alignment horizontal="right"/>
    </xf>
    <xf numFmtId="167" fontId="11" fillId="0" borderId="1" xfId="0" applyNumberFormat="1" applyFont="1" applyBorder="1" applyAlignment="1">
      <alignment horizontal="right"/>
    </xf>
    <xf numFmtId="165" fontId="11" fillId="0" borderId="1" xfId="0" applyNumberFormat="1" applyFont="1" applyBorder="1" applyAlignment="1">
      <alignment horizontal="right"/>
    </xf>
    <xf numFmtId="165" fontId="9" fillId="6" borderId="1" xfId="0" applyNumberFormat="1" applyFont="1" applyFill="1" applyBorder="1" applyAlignment="1">
      <alignment horizontal="right"/>
    </xf>
    <xf numFmtId="4" fontId="2" fillId="0" borderId="1" xfId="0" applyNumberFormat="1" applyFont="1" applyBorder="1" applyAlignment="1">
      <alignment horizontal="right"/>
    </xf>
    <xf numFmtId="165" fontId="11" fillId="0" borderId="1" xfId="0" applyNumberFormat="1" applyFont="1" applyBorder="1" applyAlignment="1">
      <alignment horizontal="right" vertical="center"/>
    </xf>
    <xf numFmtId="165" fontId="9" fillId="6" borderId="1" xfId="0" applyNumberFormat="1" applyFont="1" applyFill="1" applyBorder="1" applyAlignment="1">
      <alignment horizontal="right" vertical="center"/>
    </xf>
    <xf numFmtId="3" fontId="11" fillId="0" borderId="1" xfId="0" applyNumberFormat="1" applyFont="1" applyBorder="1" applyAlignment="1">
      <alignment horizontal="right" vertical="center"/>
    </xf>
    <xf numFmtId="2" fontId="9" fillId="6" borderId="1" xfId="0" applyNumberFormat="1" applyFont="1" applyFill="1" applyBorder="1" applyAlignment="1">
      <alignment horizontal="right" vertical="center"/>
    </xf>
    <xf numFmtId="0" fontId="9" fillId="6" borderId="1" xfId="0" applyFont="1" applyFill="1" applyBorder="1" applyAlignment="1">
      <alignment horizontal="right" vertical="center"/>
    </xf>
    <xf numFmtId="167" fontId="2" fillId="0" borderId="1" xfId="0" applyNumberFormat="1" applyFont="1" applyBorder="1" applyAlignment="1">
      <alignment horizontal="right" vertical="center"/>
    </xf>
    <xf numFmtId="1" fontId="2" fillId="0" borderId="1" xfId="0" applyNumberFormat="1" applyFont="1" applyBorder="1" applyAlignment="1">
      <alignment horizontal="center" vertical="center"/>
    </xf>
    <xf numFmtId="4" fontId="2" fillId="0" borderId="1" xfId="0" applyNumberFormat="1" applyFont="1" applyBorder="1" applyAlignment="1">
      <alignment horizontal="right" vertical="center"/>
    </xf>
    <xf numFmtId="3" fontId="9" fillId="2" borderId="0" xfId="0" applyNumberFormat="1" applyFont="1" applyFill="1" applyAlignment="1">
      <alignment horizontal="right" vertical="center"/>
    </xf>
    <xf numFmtId="4" fontId="9" fillId="2" borderId="0" xfId="0" applyNumberFormat="1" applyFont="1" applyFill="1" applyAlignment="1">
      <alignment horizontal="right" vertical="center"/>
    </xf>
    <xf numFmtId="0" fontId="2" fillId="0" borderId="0" xfId="0" applyFont="1" applyAlignment="1">
      <alignment vertical="center"/>
    </xf>
    <xf numFmtId="4" fontId="2" fillId="0" borderId="0" xfId="0" applyNumberFormat="1" applyFont="1" applyAlignment="1">
      <alignment vertical="center"/>
    </xf>
    <xf numFmtId="4" fontId="11" fillId="0" borderId="0" xfId="0" applyNumberFormat="1" applyFont="1" applyAlignment="1">
      <alignment vertical="center"/>
    </xf>
    <xf numFmtId="0" fontId="9" fillId="0" borderId="0" xfId="0" applyFont="1" applyAlignment="1">
      <alignment vertical="center"/>
    </xf>
    <xf numFmtId="4" fontId="9" fillId="6" borderId="0" xfId="0" applyNumberFormat="1" applyFont="1" applyFill="1" applyAlignment="1">
      <alignment vertical="center"/>
    </xf>
    <xf numFmtId="166" fontId="11" fillId="0" borderId="1" xfId="0" applyNumberFormat="1" applyFont="1" applyBorder="1" applyAlignment="1">
      <alignment horizontal="right"/>
    </xf>
    <xf numFmtId="166" fontId="9" fillId="6" borderId="1" xfId="0" applyNumberFormat="1" applyFont="1" applyFill="1" applyBorder="1" applyAlignment="1">
      <alignment horizontal="right"/>
    </xf>
    <xf numFmtId="0" fontId="2" fillId="0" borderId="1" xfId="0" applyFont="1" applyBorder="1" applyAlignment="1">
      <alignment horizontal="left"/>
    </xf>
    <xf numFmtId="4" fontId="9" fillId="2" borderId="1" xfId="0" applyNumberFormat="1" applyFont="1" applyFill="1" applyBorder="1" applyAlignment="1">
      <alignment horizontal="right"/>
    </xf>
    <xf numFmtId="4" fontId="9" fillId="6" borderId="1" xfId="0" applyNumberFormat="1" applyFont="1" applyFill="1" applyBorder="1" applyAlignment="1">
      <alignment horizontal="right"/>
    </xf>
    <xf numFmtId="4" fontId="11" fillId="0" borderId="1" xfId="0" applyNumberFormat="1" applyFont="1" applyBorder="1" applyAlignment="1">
      <alignment horizontal="right"/>
    </xf>
    <xf numFmtId="167" fontId="9" fillId="6" borderId="1" xfId="0" applyNumberFormat="1" applyFont="1" applyFill="1" applyBorder="1" applyAlignment="1">
      <alignment horizontal="right"/>
    </xf>
    <xf numFmtId="2" fontId="10" fillId="0" borderId="1" xfId="0" applyNumberFormat="1" applyFont="1" applyBorder="1" applyAlignment="1">
      <alignment horizontal="right" vertical="center"/>
    </xf>
    <xf numFmtId="1" fontId="10" fillId="0" borderId="1" xfId="0" applyNumberFormat="1" applyFont="1" applyBorder="1" applyAlignment="1">
      <alignment horizontal="right" vertical="center"/>
    </xf>
    <xf numFmtId="164" fontId="10" fillId="0" borderId="1" xfId="0" applyNumberFormat="1" applyFont="1" applyBorder="1" applyAlignment="1">
      <alignment horizontal="right" vertical="center"/>
    </xf>
    <xf numFmtId="165" fontId="10" fillId="0" borderId="1" xfId="0" applyNumberFormat="1" applyFont="1" applyBorder="1" applyAlignment="1">
      <alignment horizontal="right" vertical="center"/>
    </xf>
    <xf numFmtId="3" fontId="10" fillId="0" borderId="1" xfId="0" applyNumberFormat="1" applyFont="1" applyBorder="1" applyAlignment="1">
      <alignment horizontal="right" vertical="center"/>
    </xf>
    <xf numFmtId="0" fontId="10" fillId="0" borderId="1" xfId="0" applyFont="1" applyBorder="1" applyAlignment="1">
      <alignment horizontal="right" vertical="center"/>
    </xf>
    <xf numFmtId="167" fontId="10" fillId="0" borderId="1" xfId="0" applyNumberFormat="1" applyFont="1" applyBorder="1" applyAlignment="1">
      <alignment horizontal="right" vertical="center"/>
    </xf>
    <xf numFmtId="166" fontId="10" fillId="0" borderId="1" xfId="0" applyNumberFormat="1" applyFont="1" applyBorder="1" applyAlignment="1">
      <alignment horizontal="right" vertical="center"/>
    </xf>
  </cellXfs>
  <cellStyles count="1">
    <cellStyle name="Normal" xfId="0" builtinId="0"/>
  </cellStyles>
  <dxfs count="2">
    <dxf>
      <font>
        <sz val="10"/>
        <color rgb="FFB71C1C"/>
        <name val="Arial"/>
        <charset val="1"/>
      </font>
      <fill>
        <patternFill>
          <bgColor rgb="FFF4CCCC"/>
        </patternFill>
      </fill>
    </dxf>
    <dxf>
      <font>
        <sz val="10"/>
        <color rgb="FF1B5E20"/>
        <name val="Arial"/>
        <charset val="1"/>
      </font>
      <fill>
        <patternFill>
          <bgColor rgb="FFD9EAD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5F7A"/>
      <rgbColor rgb="FFB3B3B3"/>
      <rgbColor rgb="FF808080"/>
      <rgbColor rgb="FF9999FF"/>
      <rgbColor rgb="FFB71C1C"/>
      <rgbColor rgb="FFFFF2CC"/>
      <rgbColor rgb="FFE8F4F8"/>
      <rgbColor rgb="FF660066"/>
      <rgbColor rgb="FFE07B39"/>
      <rgbColor rgb="FF0066CC"/>
      <rgbColor rgb="FFD9D9D9"/>
      <rgbColor rgb="FF000080"/>
      <rgbColor rgb="FFFF00FF"/>
      <rgbColor rgb="FFFFFF00"/>
      <rgbColor rgb="FF00FFFF"/>
      <rgbColor rgb="FF800080"/>
      <rgbColor rgb="FF800000"/>
      <rgbColor rgb="FF008080"/>
      <rgbColor rgb="FF0000FF"/>
      <rgbColor rgb="FF00CCFF"/>
      <rgbColor rgb="FFE7F3E4"/>
      <rgbColor rgb="FFD9EAD3"/>
      <rgbColor rgb="FFFDECE4"/>
      <rgbColor rgb="FFD9DEE3"/>
      <rgbColor rgb="FFFF99CC"/>
      <rgbColor rgb="FFCC99FF"/>
      <rgbColor rgb="FFF4CCCC"/>
      <rgbColor rgb="FF3366FF"/>
      <rgbColor rgb="FF33CCCC"/>
      <rgbColor rgb="FF99CC00"/>
      <rgbColor rgb="FFFFCC00"/>
      <rgbColor rgb="FFFF9900"/>
      <rgbColor rgb="FFFF6600"/>
      <rgbColor rgb="FF6B7280"/>
      <rgbColor rgb="FF969696"/>
      <rgbColor rgb="FF003366"/>
      <rgbColor rgb="FF339966"/>
      <rgbColor rgb="FF003300"/>
      <rgbColor rgb="FF333300"/>
      <rgbColor rgb="FF9C2B00"/>
      <rgbColor rgb="FF993366"/>
      <rgbColor rgb="FF333399"/>
      <rgbColor rgb="FF1B5E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Experimental semivariogram and fitted model</a:t>
            </a:r>
          </a:p>
        </c:rich>
      </c:tx>
      <c:overlay val="0"/>
      <c:spPr>
        <a:noFill/>
        <a:ln w="0">
          <a:noFill/>
        </a:ln>
      </c:spPr>
    </c:title>
    <c:autoTitleDeleted val="0"/>
    <c:plotArea>
      <c:layout/>
      <c:scatterChart>
        <c:scatterStyle val="lineMarker"/>
        <c:varyColors val="0"/>
        <c:ser>
          <c:idx val="0"/>
          <c:order val="0"/>
          <c:tx>
            <c:v>Experimental</c:v>
          </c:tx>
          <c:spPr>
            <a:ln w="28440">
              <a:noFill/>
            </a:ln>
          </c:spPr>
          <c:marker>
            <c:symbol val="circle"/>
            <c:size val="8"/>
            <c:spPr>
              <a:solidFill>
                <a:srgbClr val="E07B39"/>
              </a:solidFill>
            </c:spPr>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Geostatistics!$D$34:$D$38</c:f>
              <c:numCache>
                <c:formatCode>#,##0.0</c:formatCode>
                <c:ptCount val="5"/>
                <c:pt idx="0">
                  <c:v>118.07477363082604</c:v>
                </c:pt>
                <c:pt idx="1">
                  <c:v>214.33269863391607</c:v>
                </c:pt>
                <c:pt idx="2">
                  <c:v>302.63706377849297</c:v>
                </c:pt>
                <c:pt idx="3">
                  <c:v>393.98580680836619</c:v>
                </c:pt>
                <c:pt idx="4">
                  <c:v>500</c:v>
                </c:pt>
              </c:numCache>
            </c:numRef>
          </c:xVal>
          <c:yVal>
            <c:numRef>
              <c:f>Geostatistics!$E$34:$E$38</c:f>
              <c:numCache>
                <c:formatCode>0.000</c:formatCode>
                <c:ptCount val="5"/>
                <c:pt idx="0">
                  <c:v>0.12902863636363618</c:v>
                </c:pt>
                <c:pt idx="1">
                  <c:v>0.15881651785714263</c:v>
                </c:pt>
                <c:pt idx="2">
                  <c:v>0.13787305555555546</c:v>
                </c:pt>
                <c:pt idx="3">
                  <c:v>0.12442226562499982</c:v>
                </c:pt>
                <c:pt idx="4">
                  <c:v>5.5700000000000013E-2</c:v>
                </c:pt>
              </c:numCache>
            </c:numRef>
          </c:yVal>
          <c:smooth val="1"/>
          <c:extLst>
            <c:ext xmlns:c16="http://schemas.microsoft.com/office/drawing/2014/chart" uri="{C3380CC4-5D6E-409C-BE32-E72D297353CC}">
              <c16:uniqueId val="{00000000-8EB2-4A5B-B827-307E9D13B958}"/>
            </c:ext>
          </c:extLst>
        </c:ser>
        <c:ser>
          <c:idx val="1"/>
          <c:order val="1"/>
          <c:tx>
            <c:v>Fitted model</c:v>
          </c:tx>
          <c:spPr>
            <a:ln w="21960">
              <a:solidFill>
                <a:srgbClr val="1A5F7A"/>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Geostatistics!$I$34:$I$46</c:f>
              <c:numCache>
                <c:formatCode>#,##0</c:formatCode>
                <c:ptCount val="13"/>
                <c:pt idx="0">
                  <c:v>0</c:v>
                </c:pt>
                <c:pt idx="1">
                  <c:v>50</c:v>
                </c:pt>
                <c:pt idx="2">
                  <c:v>100</c:v>
                </c:pt>
                <c:pt idx="3">
                  <c:v>150</c:v>
                </c:pt>
                <c:pt idx="4">
                  <c:v>200</c:v>
                </c:pt>
                <c:pt idx="5">
                  <c:v>250</c:v>
                </c:pt>
                <c:pt idx="6">
                  <c:v>300</c:v>
                </c:pt>
                <c:pt idx="7">
                  <c:v>350</c:v>
                </c:pt>
                <c:pt idx="8">
                  <c:v>400</c:v>
                </c:pt>
                <c:pt idx="9">
                  <c:v>450</c:v>
                </c:pt>
                <c:pt idx="10">
                  <c:v>500</c:v>
                </c:pt>
                <c:pt idx="11">
                  <c:v>550</c:v>
                </c:pt>
                <c:pt idx="12">
                  <c:v>600</c:v>
                </c:pt>
              </c:numCache>
            </c:numRef>
          </c:xVal>
          <c:yVal>
            <c:numRef>
              <c:f>Geostatistics!$J$34:$J$46</c:f>
              <c:numCache>
                <c:formatCode>0.000</c:formatCode>
                <c:ptCount val="13"/>
                <c:pt idx="0">
                  <c:v>0</c:v>
                </c:pt>
                <c:pt idx="1">
                  <c:v>0.10570312500000001</c:v>
                </c:pt>
                <c:pt idx="2">
                  <c:v>0.12812499999999999</c:v>
                </c:pt>
                <c:pt idx="3">
                  <c:v>0.143984375</c:v>
                </c:pt>
                <c:pt idx="4">
                  <c:v>0.15000000000000002</c:v>
                </c:pt>
                <c:pt idx="5">
                  <c:v>0.15000000000000002</c:v>
                </c:pt>
                <c:pt idx="6">
                  <c:v>0.15000000000000002</c:v>
                </c:pt>
                <c:pt idx="7">
                  <c:v>0.15000000000000002</c:v>
                </c:pt>
                <c:pt idx="8">
                  <c:v>0.15000000000000002</c:v>
                </c:pt>
                <c:pt idx="9">
                  <c:v>0.15000000000000002</c:v>
                </c:pt>
                <c:pt idx="10">
                  <c:v>0.15000000000000002</c:v>
                </c:pt>
                <c:pt idx="11">
                  <c:v>0.15000000000000002</c:v>
                </c:pt>
                <c:pt idx="12">
                  <c:v>0.15000000000000002</c:v>
                </c:pt>
              </c:numCache>
            </c:numRef>
          </c:yVal>
          <c:smooth val="1"/>
          <c:extLst>
            <c:ext xmlns:c16="http://schemas.microsoft.com/office/drawing/2014/chart" uri="{C3380CC4-5D6E-409C-BE32-E72D297353CC}">
              <c16:uniqueId val="{00000001-8EB2-4A5B-B827-307E9D13B958}"/>
            </c:ext>
          </c:extLst>
        </c:ser>
        <c:dLbls>
          <c:showLegendKey val="0"/>
          <c:showVal val="0"/>
          <c:showCatName val="0"/>
          <c:showSerName val="0"/>
          <c:showPercent val="0"/>
          <c:showBubbleSize val="0"/>
        </c:dLbls>
        <c:axId val="61340829"/>
        <c:axId val="54805858"/>
      </c:scatterChart>
      <c:valAx>
        <c:axId val="61340829"/>
        <c:scaling>
          <c:orientation val="minMax"/>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Distance h (m)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805858"/>
        <c:crosses val="autoZero"/>
        <c:crossBetween val="midCat"/>
      </c:valAx>
      <c:valAx>
        <c:axId val="5480585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γ(h) (m²)</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1340829"/>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Post-tax cash flow by year (₹ crore)</a:t>
            </a:r>
          </a:p>
        </c:rich>
      </c:tx>
      <c:overlay val="0"/>
      <c:spPr>
        <a:noFill/>
        <a:ln w="0">
          <a:noFill/>
        </a:ln>
      </c:spPr>
    </c:title>
    <c:autoTitleDeleted val="0"/>
    <c:plotArea>
      <c:layout/>
      <c:barChart>
        <c:barDir val="col"/>
        <c:grouping val="clustered"/>
        <c:varyColors val="0"/>
        <c:ser>
          <c:idx val="0"/>
          <c:order val="0"/>
          <c:tx>
            <c:strRef>
              <c:f>Finance!$O$23</c:f>
              <c:strCache>
                <c:ptCount val="1"/>
                <c:pt idx="0">
                  <c:v>Post-tax cash flow</c:v>
                </c:pt>
              </c:strCache>
            </c:strRef>
          </c:tx>
          <c:spPr>
            <a:solidFill>
              <a:srgbClr val="1A5F7A"/>
            </a:solidFill>
            <a:ln w="0">
              <a:solidFill>
                <a:srgbClr val="000000"/>
              </a:solid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Finance!$A$24:$A$34</c:f>
              <c:numCache>
                <c:formatCode>0</c:formatCode>
                <c:ptCount val="11"/>
                <c:pt idx="0">
                  <c:v>0</c:v>
                </c:pt>
                <c:pt idx="1">
                  <c:v>1</c:v>
                </c:pt>
                <c:pt idx="2">
                  <c:v>2</c:v>
                </c:pt>
                <c:pt idx="3">
                  <c:v>3</c:v>
                </c:pt>
                <c:pt idx="4">
                  <c:v>4</c:v>
                </c:pt>
                <c:pt idx="5">
                  <c:v>5</c:v>
                </c:pt>
                <c:pt idx="6">
                  <c:v>6</c:v>
                </c:pt>
                <c:pt idx="7">
                  <c:v>7</c:v>
                </c:pt>
                <c:pt idx="8">
                  <c:v>8</c:v>
                </c:pt>
                <c:pt idx="9">
                  <c:v>9</c:v>
                </c:pt>
                <c:pt idx="10">
                  <c:v>10</c:v>
                </c:pt>
              </c:numCache>
            </c:numRef>
          </c:cat>
          <c:val>
            <c:numRef>
              <c:f>Finance!$O$24:$O$34</c:f>
              <c:numCache>
                <c:formatCode>#,##0.00</c:formatCode>
                <c:ptCount val="11"/>
                <c:pt idx="0">
                  <c:v>-32</c:v>
                </c:pt>
                <c:pt idx="1">
                  <c:v>8.7705677996218832</c:v>
                </c:pt>
                <c:pt idx="2">
                  <c:v>8.7705677996218832</c:v>
                </c:pt>
                <c:pt idx="3">
                  <c:v>8.7705677996218832</c:v>
                </c:pt>
                <c:pt idx="4">
                  <c:v>9.6756050510473415</c:v>
                </c:pt>
                <c:pt idx="5">
                  <c:v>0</c:v>
                </c:pt>
                <c:pt idx="6">
                  <c:v>0</c:v>
                </c:pt>
                <c:pt idx="7">
                  <c:v>0</c:v>
                </c:pt>
                <c:pt idx="8">
                  <c:v>0</c:v>
                </c:pt>
                <c:pt idx="9">
                  <c:v>0</c:v>
                </c:pt>
                <c:pt idx="10">
                  <c:v>0</c:v>
                </c:pt>
              </c:numCache>
            </c:numRef>
          </c:val>
          <c:extLst>
            <c:ext xmlns:c16="http://schemas.microsoft.com/office/drawing/2014/chart" uri="{C3380CC4-5D6E-409C-BE32-E72D297353CC}">
              <c16:uniqueId val="{00000000-B88C-40FE-ADA6-348C3C55CC51}"/>
            </c:ext>
          </c:extLst>
        </c:ser>
        <c:dLbls>
          <c:showLegendKey val="0"/>
          <c:showVal val="0"/>
          <c:showCatName val="0"/>
          <c:showSerName val="0"/>
          <c:showPercent val="0"/>
          <c:showBubbleSize val="0"/>
        </c:dLbls>
        <c:gapWidth val="150"/>
        <c:axId val="55281380"/>
        <c:axId val="88368481"/>
      </c:barChart>
      <c:catAx>
        <c:axId val="5528138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Year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368481"/>
        <c:crosses val="autoZero"/>
        <c:auto val="1"/>
        <c:lblAlgn val="ctr"/>
        <c:lblOffset val="100"/>
        <c:noMultiLvlLbl val="0"/>
      </c:catAx>
      <c:valAx>
        <c:axId val="88368481"/>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2813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3</xdr:col>
      <xdr:colOff>684360</xdr:colOff>
      <xdr:row>58</xdr:row>
      <xdr:rowOff>68040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37</xdr:row>
      <xdr:rowOff>0</xdr:rowOff>
    </xdr:from>
    <xdr:to>
      <xdr:col>15</xdr:col>
      <xdr:colOff>465120</xdr:colOff>
      <xdr:row>51</xdr:row>
      <xdr:rowOff>32040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54"/>
  <sheetViews>
    <sheetView showGridLines="0" topLeftCell="A3" zoomScaleNormal="100" workbookViewId="0"/>
  </sheetViews>
  <sheetFormatPr defaultColWidth="8.69140625" defaultRowHeight="14.6" x14ac:dyDescent="0.4"/>
  <cols>
    <col min="1" max="1" width="125" customWidth="1"/>
  </cols>
  <sheetData>
    <row r="1" spans="1:1" ht="17.25" customHeight="1" x14ac:dyDescent="0.4">
      <c r="A1" s="3" t="s">
        <v>0</v>
      </c>
    </row>
    <row r="2" spans="1:1" ht="13.5" customHeight="1" x14ac:dyDescent="0.4">
      <c r="A2" s="4" t="s">
        <v>1</v>
      </c>
    </row>
    <row r="3" spans="1:1" ht="15" customHeight="1" x14ac:dyDescent="0.4"/>
    <row r="4" spans="1:1" ht="15" customHeight="1" x14ac:dyDescent="0.4">
      <c r="A4" s="5" t="s">
        <v>2</v>
      </c>
    </row>
    <row r="5" spans="1:1" ht="42" customHeight="1" x14ac:dyDescent="0.4">
      <c r="A5" s="6" t="s">
        <v>3</v>
      </c>
    </row>
    <row r="6" spans="1:1" ht="15" customHeight="1" x14ac:dyDescent="0.4"/>
    <row r="7" spans="1:1" ht="15" customHeight="1" x14ac:dyDescent="0.4">
      <c r="A7" s="5" t="s">
        <v>4</v>
      </c>
    </row>
    <row r="8" spans="1:1" ht="28.5" customHeight="1" x14ac:dyDescent="0.4">
      <c r="A8" s="4" t="s">
        <v>5</v>
      </c>
    </row>
    <row r="9" spans="1:1" ht="28.5" customHeight="1" x14ac:dyDescent="0.4">
      <c r="A9" s="4" t="s">
        <v>6</v>
      </c>
    </row>
    <row r="10" spans="1:1" ht="28.5" customHeight="1" x14ac:dyDescent="0.4">
      <c r="A10" s="4" t="s">
        <v>7</v>
      </c>
    </row>
    <row r="11" spans="1:1" ht="28.5" customHeight="1" x14ac:dyDescent="0.4">
      <c r="A11" s="4" t="s">
        <v>8</v>
      </c>
    </row>
    <row r="12" spans="1:1" ht="13.5" customHeight="1" x14ac:dyDescent="0.4">
      <c r="A12" s="4" t="s">
        <v>9</v>
      </c>
    </row>
    <row r="13" spans="1:1" ht="13.5" customHeight="1" x14ac:dyDescent="0.4">
      <c r="A13" s="4" t="s">
        <v>10</v>
      </c>
    </row>
    <row r="14" spans="1:1" ht="28.5" customHeight="1" x14ac:dyDescent="0.4">
      <c r="A14" s="4" t="s">
        <v>11</v>
      </c>
    </row>
    <row r="15" spans="1:1" ht="13.5" customHeight="1" x14ac:dyDescent="0.4">
      <c r="A15" s="4" t="s">
        <v>12</v>
      </c>
    </row>
    <row r="16" spans="1:1" ht="13.5" customHeight="1" x14ac:dyDescent="0.4">
      <c r="A16" s="4" t="s">
        <v>13</v>
      </c>
    </row>
    <row r="17" spans="1:1" ht="28.5" customHeight="1" x14ac:dyDescent="0.4">
      <c r="A17" s="4" t="s">
        <v>14</v>
      </c>
    </row>
    <row r="18" spans="1:1" ht="13.5" customHeight="1" x14ac:dyDescent="0.4">
      <c r="A18" s="4" t="s">
        <v>15</v>
      </c>
    </row>
    <row r="19" spans="1:1" ht="13.5" customHeight="1" x14ac:dyDescent="0.4">
      <c r="A19" s="4" t="s">
        <v>16</v>
      </c>
    </row>
    <row r="20" spans="1:1" ht="13.5" customHeight="1" x14ac:dyDescent="0.4">
      <c r="A20" s="4" t="s">
        <v>17</v>
      </c>
    </row>
    <row r="21" spans="1:1" ht="15" customHeight="1" x14ac:dyDescent="0.4"/>
    <row r="22" spans="1:1" ht="15" customHeight="1" x14ac:dyDescent="0.4">
      <c r="A22" s="5" t="s">
        <v>18</v>
      </c>
    </row>
    <row r="23" spans="1:1" ht="28.5" customHeight="1" x14ac:dyDescent="0.4">
      <c r="A23" s="4" t="s">
        <v>19</v>
      </c>
    </row>
    <row r="24" spans="1:1" ht="28.5" customHeight="1" x14ac:dyDescent="0.4">
      <c r="A24" s="4" t="s">
        <v>20</v>
      </c>
    </row>
    <row r="25" spans="1:1" ht="42" customHeight="1" x14ac:dyDescent="0.4">
      <c r="A25" s="4" t="s">
        <v>21</v>
      </c>
    </row>
    <row r="26" spans="1:1" ht="28.5" customHeight="1" x14ac:dyDescent="0.4">
      <c r="A26" s="4" t="s">
        <v>22</v>
      </c>
    </row>
    <row r="27" spans="1:1" ht="13.5" customHeight="1" x14ac:dyDescent="0.4">
      <c r="A27" s="4" t="s">
        <v>23</v>
      </c>
    </row>
    <row r="28" spans="1:1" ht="28.5" customHeight="1" x14ac:dyDescent="0.4">
      <c r="A28" s="4" t="s">
        <v>24</v>
      </c>
    </row>
    <row r="29" spans="1:1" ht="28.5" customHeight="1" x14ac:dyDescent="0.4">
      <c r="A29" s="4" t="s">
        <v>25</v>
      </c>
    </row>
    <row r="30" spans="1:1" ht="28.5" customHeight="1" x14ac:dyDescent="0.4">
      <c r="A30" s="4" t="s">
        <v>26</v>
      </c>
    </row>
    <row r="31" spans="1:1" ht="28.5" customHeight="1" x14ac:dyDescent="0.4">
      <c r="A31" s="4" t="s">
        <v>27</v>
      </c>
    </row>
    <row r="32" spans="1:1" ht="15" customHeight="1" x14ac:dyDescent="0.4"/>
    <row r="33" spans="1:1" ht="15" customHeight="1" x14ac:dyDescent="0.4">
      <c r="A33" s="5" t="s">
        <v>28</v>
      </c>
    </row>
    <row r="34" spans="1:1" ht="42" customHeight="1" x14ac:dyDescent="0.4">
      <c r="A34" s="4" t="s">
        <v>29</v>
      </c>
    </row>
    <row r="35" spans="1:1" ht="15" customHeight="1" x14ac:dyDescent="0.4"/>
    <row r="36" spans="1:1" ht="15" customHeight="1" x14ac:dyDescent="0.4">
      <c r="A36" s="5" t="s">
        <v>30</v>
      </c>
    </row>
    <row r="37" spans="1:1" ht="28.5" customHeight="1" x14ac:dyDescent="0.4">
      <c r="A37" s="4" t="s">
        <v>31</v>
      </c>
    </row>
    <row r="38" spans="1:1" ht="15" customHeight="1" x14ac:dyDescent="0.4"/>
    <row r="39" spans="1:1" ht="15" customHeight="1" x14ac:dyDescent="0.4">
      <c r="A39" s="5" t="s">
        <v>32</v>
      </c>
    </row>
    <row r="40" spans="1:1" ht="28.5" customHeight="1" x14ac:dyDescent="0.4">
      <c r="A40" s="4" t="s">
        <v>33</v>
      </c>
    </row>
    <row r="41" spans="1:1" ht="13.5" customHeight="1" x14ac:dyDescent="0.4">
      <c r="A41" s="4" t="s">
        <v>34</v>
      </c>
    </row>
    <row r="42" spans="1:1" ht="13.5" customHeight="1" x14ac:dyDescent="0.4">
      <c r="A42" s="4" t="s">
        <v>35</v>
      </c>
    </row>
    <row r="43" spans="1:1" ht="13.5" customHeight="1" x14ac:dyDescent="0.4">
      <c r="A43" s="4" t="s">
        <v>36</v>
      </c>
    </row>
    <row r="44" spans="1:1" ht="13.5" customHeight="1" x14ac:dyDescent="0.4">
      <c r="A44" s="4" t="s">
        <v>37</v>
      </c>
    </row>
    <row r="45" spans="1:1" ht="28.5" customHeight="1" x14ac:dyDescent="0.4">
      <c r="A45" s="4" t="s">
        <v>38</v>
      </c>
    </row>
    <row r="46" spans="1:1" ht="28.5" customHeight="1" x14ac:dyDescent="0.4">
      <c r="A46" s="4" t="s">
        <v>39</v>
      </c>
    </row>
    <row r="47" spans="1:1" ht="28.5" customHeight="1" x14ac:dyDescent="0.4">
      <c r="A47" s="4" t="s">
        <v>40</v>
      </c>
    </row>
    <row r="48" spans="1:1" ht="13.5" customHeight="1" x14ac:dyDescent="0.4">
      <c r="A48" s="4" t="s">
        <v>41</v>
      </c>
    </row>
    <row r="49" spans="1:1" ht="15" customHeight="1" x14ac:dyDescent="0.4"/>
    <row r="50" spans="1:1" ht="15" customHeight="1" x14ac:dyDescent="0.4">
      <c r="A50" s="5" t="s">
        <v>42</v>
      </c>
    </row>
    <row r="51" spans="1:1" ht="69" customHeight="1" x14ac:dyDescent="0.4">
      <c r="A51" s="4" t="s">
        <v>43</v>
      </c>
    </row>
    <row r="52" spans="1:1" ht="15" customHeight="1" x14ac:dyDescent="0.4"/>
    <row r="53" spans="1:1" ht="15" customHeight="1" x14ac:dyDescent="0.4">
      <c r="A53" s="5" t="s">
        <v>44</v>
      </c>
    </row>
    <row r="54" spans="1:1" ht="55.5" customHeight="1" x14ac:dyDescent="0.4">
      <c r="A54" s="4" t="s">
        <v>45</v>
      </c>
    </row>
  </sheetData>
  <printOptions horizontalCentered="1"/>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3"/>
  <sheetViews>
    <sheetView showGridLines="0" zoomScaleNormal="100" workbookViewId="0">
      <pane ySplit="4" topLeftCell="A99" activePane="bottomLeft" state="frozen"/>
      <selection pane="bottomLeft" activeCell="A79" sqref="A79"/>
    </sheetView>
  </sheetViews>
  <sheetFormatPr defaultColWidth="8.69140625" defaultRowHeight="14.6" x14ac:dyDescent="0.4"/>
  <cols>
    <col min="1" max="1" width="38" customWidth="1"/>
    <col min="2" max="3" width="14" customWidth="1"/>
    <col min="4" max="4" width="72" customWidth="1"/>
  </cols>
  <sheetData>
    <row r="1" spans="1:4" ht="17.25" customHeight="1" x14ac:dyDescent="0.4">
      <c r="A1" s="7" t="s">
        <v>46</v>
      </c>
      <c r="B1" s="8"/>
      <c r="C1" s="8"/>
      <c r="D1" s="8"/>
    </row>
    <row r="2" spans="1:4" ht="15" customHeight="1" x14ac:dyDescent="0.4">
      <c r="A2" s="9" t="s">
        <v>47</v>
      </c>
      <c r="B2" s="8"/>
      <c r="C2" s="8"/>
      <c r="D2" s="8"/>
    </row>
    <row r="3" spans="1:4" ht="15" customHeight="1" x14ac:dyDescent="0.4">
      <c r="A3" s="8"/>
      <c r="B3" s="8"/>
      <c r="C3" s="8"/>
      <c r="D3" s="8"/>
    </row>
    <row r="4" spans="1:4" ht="30" customHeight="1" x14ac:dyDescent="0.4">
      <c r="A4" s="10" t="s">
        <v>48</v>
      </c>
      <c r="B4" s="10" t="s">
        <v>49</v>
      </c>
      <c r="C4" s="10" t="s">
        <v>50</v>
      </c>
      <c r="D4" s="10" t="s">
        <v>51</v>
      </c>
    </row>
    <row r="5" spans="1:4" ht="15" customHeight="1" x14ac:dyDescent="0.4">
      <c r="A5" s="11" t="s">
        <v>52</v>
      </c>
      <c r="B5" s="12"/>
      <c r="C5" s="12"/>
      <c r="D5" s="12"/>
    </row>
    <row r="6" spans="1:4" ht="13.5" customHeight="1" x14ac:dyDescent="0.4">
      <c r="A6" s="13" t="s">
        <v>53</v>
      </c>
      <c r="B6" s="14">
        <v>100</v>
      </c>
      <c r="C6" s="15" t="s">
        <v>54</v>
      </c>
      <c r="D6" s="16" t="s">
        <v>55</v>
      </c>
    </row>
    <row r="7" spans="1:4" ht="13.5" customHeight="1" x14ac:dyDescent="0.4">
      <c r="A7" s="13" t="s">
        <v>56</v>
      </c>
      <c r="B7" s="14">
        <v>100</v>
      </c>
      <c r="C7" s="15" t="s">
        <v>54</v>
      </c>
      <c r="D7" s="16" t="s">
        <v>57</v>
      </c>
    </row>
    <row r="8" spans="1:4" ht="13.5" customHeight="1" x14ac:dyDescent="0.4">
      <c r="A8" s="13" t="s">
        <v>58</v>
      </c>
      <c r="B8" s="17">
        <v>1.4</v>
      </c>
      <c r="C8" s="15" t="s">
        <v>59</v>
      </c>
      <c r="D8" s="16" t="s">
        <v>60</v>
      </c>
    </row>
    <row r="9" spans="1:4" ht="27" customHeight="1" x14ac:dyDescent="0.4">
      <c r="A9" s="13" t="s">
        <v>61</v>
      </c>
      <c r="B9" s="17">
        <v>2.2000000000000002</v>
      </c>
      <c r="C9" s="15" t="s">
        <v>62</v>
      </c>
      <c r="D9" s="16" t="s">
        <v>63</v>
      </c>
    </row>
    <row r="10" spans="1:4" ht="27" customHeight="1" x14ac:dyDescent="0.4">
      <c r="A10" s="13" t="s">
        <v>64</v>
      </c>
      <c r="B10" s="17">
        <v>0.92</v>
      </c>
      <c r="C10" s="15" t="s">
        <v>65</v>
      </c>
      <c r="D10" s="16" t="s">
        <v>66</v>
      </c>
    </row>
    <row r="11" spans="1:4" ht="13.5" customHeight="1" x14ac:dyDescent="0.4">
      <c r="A11" s="13" t="s">
        <v>67</v>
      </c>
      <c r="B11" s="14">
        <v>500000</v>
      </c>
      <c r="C11" s="15" t="s">
        <v>68</v>
      </c>
      <c r="D11" s="16" t="s">
        <v>69</v>
      </c>
    </row>
    <row r="12" spans="1:4" ht="15" customHeight="1" x14ac:dyDescent="0.4">
      <c r="A12" s="11" t="s">
        <v>70</v>
      </c>
      <c r="B12" s="12"/>
      <c r="C12" s="12"/>
      <c r="D12" s="12"/>
    </row>
    <row r="13" spans="1:4" ht="13.5" customHeight="1" x14ac:dyDescent="0.4">
      <c r="A13" s="13" t="s">
        <v>71</v>
      </c>
      <c r="B13" s="18">
        <v>4</v>
      </c>
      <c r="C13" s="15" t="s">
        <v>72</v>
      </c>
      <c r="D13" s="16" t="s">
        <v>73</v>
      </c>
    </row>
    <row r="14" spans="1:4" ht="13.5" customHeight="1" x14ac:dyDescent="0.4">
      <c r="A14" s="13" t="s">
        <v>74</v>
      </c>
      <c r="B14" s="17">
        <v>0.85</v>
      </c>
      <c r="C14" s="15" t="s">
        <v>65</v>
      </c>
      <c r="D14" s="16" t="s">
        <v>75</v>
      </c>
    </row>
    <row r="15" spans="1:4" ht="13.5" customHeight="1" x14ac:dyDescent="0.4">
      <c r="A15" s="13" t="s">
        <v>76</v>
      </c>
      <c r="B15" s="17">
        <v>1.35</v>
      </c>
      <c r="C15" s="15" t="s">
        <v>77</v>
      </c>
      <c r="D15" s="16" t="s">
        <v>78</v>
      </c>
    </row>
    <row r="16" spans="1:4" ht="13.5" customHeight="1" x14ac:dyDescent="0.4">
      <c r="A16" s="13" t="s">
        <v>79</v>
      </c>
      <c r="B16" s="17">
        <v>1.3</v>
      </c>
      <c r="C16" s="15" t="s">
        <v>77</v>
      </c>
      <c r="D16" s="16" t="s">
        <v>80</v>
      </c>
    </row>
    <row r="17" spans="1:4" ht="13.5" customHeight="1" x14ac:dyDescent="0.4">
      <c r="A17" s="13" t="s">
        <v>81</v>
      </c>
      <c r="B17" s="19">
        <v>30</v>
      </c>
      <c r="C17" s="15" t="s">
        <v>82</v>
      </c>
      <c r="D17" s="16" t="s">
        <v>83</v>
      </c>
    </row>
    <row r="18" spans="1:4" ht="13.5" customHeight="1" x14ac:dyDescent="0.4">
      <c r="A18" s="13" t="s">
        <v>84</v>
      </c>
      <c r="B18" s="19">
        <v>50</v>
      </c>
      <c r="C18" s="15" t="s">
        <v>85</v>
      </c>
      <c r="D18" s="16" t="s">
        <v>86</v>
      </c>
    </row>
    <row r="19" spans="1:4" ht="15" customHeight="1" x14ac:dyDescent="0.4">
      <c r="A19" s="11" t="s">
        <v>87</v>
      </c>
      <c r="B19" s="12"/>
      <c r="C19" s="12"/>
      <c r="D19" s="12"/>
    </row>
    <row r="20" spans="1:4" ht="13.5" customHeight="1" x14ac:dyDescent="0.4">
      <c r="A20" s="13" t="s">
        <v>88</v>
      </c>
      <c r="B20" s="19">
        <v>35</v>
      </c>
      <c r="C20" s="15" t="s">
        <v>89</v>
      </c>
      <c r="D20" s="16" t="s">
        <v>90</v>
      </c>
    </row>
    <row r="21" spans="1:4" ht="13.5" customHeight="1" x14ac:dyDescent="0.4">
      <c r="A21" s="13" t="s">
        <v>91</v>
      </c>
      <c r="B21" s="18">
        <v>2</v>
      </c>
      <c r="C21" s="15" t="s">
        <v>92</v>
      </c>
      <c r="D21" s="16" t="s">
        <v>93</v>
      </c>
    </row>
    <row r="22" spans="1:4" ht="13.5" customHeight="1" x14ac:dyDescent="0.4">
      <c r="A22" s="13" t="s">
        <v>94</v>
      </c>
      <c r="B22" s="18">
        <v>3</v>
      </c>
      <c r="C22" s="15" t="s">
        <v>92</v>
      </c>
      <c r="D22" s="16" t="s">
        <v>95</v>
      </c>
    </row>
    <row r="23" spans="1:4" ht="13.5" customHeight="1" x14ac:dyDescent="0.4">
      <c r="A23" s="13" t="s">
        <v>96</v>
      </c>
      <c r="B23" s="19">
        <v>20</v>
      </c>
      <c r="C23" s="15" t="s">
        <v>97</v>
      </c>
      <c r="D23" s="16" t="s">
        <v>98</v>
      </c>
    </row>
    <row r="24" spans="1:4" ht="13.5" customHeight="1" x14ac:dyDescent="0.4">
      <c r="A24" s="13" t="s">
        <v>99</v>
      </c>
      <c r="B24" s="19">
        <v>28</v>
      </c>
      <c r="C24" s="15" t="s">
        <v>97</v>
      </c>
      <c r="D24" s="16" t="s">
        <v>100</v>
      </c>
    </row>
    <row r="25" spans="1:4" ht="13.5" customHeight="1" x14ac:dyDescent="0.4">
      <c r="A25" s="13" t="s">
        <v>101</v>
      </c>
      <c r="B25" s="18">
        <v>0.7</v>
      </c>
      <c r="C25" s="15" t="s">
        <v>102</v>
      </c>
      <c r="D25" s="16" t="s">
        <v>103</v>
      </c>
    </row>
    <row r="26" spans="1:4" ht="13.5" customHeight="1" x14ac:dyDescent="0.4">
      <c r="A26" s="13" t="s">
        <v>104</v>
      </c>
      <c r="B26" s="18">
        <v>1.3</v>
      </c>
      <c r="C26" s="15" t="s">
        <v>102</v>
      </c>
      <c r="D26" s="16" t="s">
        <v>105</v>
      </c>
    </row>
    <row r="27" spans="1:4" ht="13.5" customHeight="1" x14ac:dyDescent="0.4">
      <c r="A27" s="13" t="s">
        <v>106</v>
      </c>
      <c r="B27" s="19">
        <v>50</v>
      </c>
      <c r="C27" s="15" t="s">
        <v>85</v>
      </c>
      <c r="D27" s="16" t="s">
        <v>107</v>
      </c>
    </row>
    <row r="28" spans="1:4" ht="15" customHeight="1" x14ac:dyDescent="0.4">
      <c r="A28" s="11" t="s">
        <v>108</v>
      </c>
      <c r="B28" s="12"/>
      <c r="C28" s="12"/>
      <c r="D28" s="12"/>
    </row>
    <row r="29" spans="1:4" ht="13.5" customHeight="1" x14ac:dyDescent="0.4">
      <c r="A29" s="13" t="s">
        <v>109</v>
      </c>
      <c r="B29" s="19">
        <v>330</v>
      </c>
      <c r="C29" s="15" t="s">
        <v>110</v>
      </c>
      <c r="D29" s="16" t="s">
        <v>111</v>
      </c>
    </row>
    <row r="30" spans="1:4" ht="15" customHeight="1" x14ac:dyDescent="0.4">
      <c r="A30" s="13" t="s">
        <v>112</v>
      </c>
      <c r="B30" s="19">
        <v>3</v>
      </c>
      <c r="C30" s="15" t="s">
        <v>113</v>
      </c>
      <c r="D30" s="16"/>
    </row>
    <row r="31" spans="1:4" ht="15" customHeight="1" x14ac:dyDescent="0.4">
      <c r="A31" s="13" t="s">
        <v>114</v>
      </c>
      <c r="B31" s="19">
        <v>8</v>
      </c>
      <c r="C31" s="15" t="s">
        <v>115</v>
      </c>
      <c r="D31" s="16"/>
    </row>
    <row r="32" spans="1:4" ht="13.5" customHeight="1" x14ac:dyDescent="0.4">
      <c r="A32" s="13" t="s">
        <v>116</v>
      </c>
      <c r="B32" s="17">
        <v>0.85</v>
      </c>
      <c r="C32" s="15" t="s">
        <v>65</v>
      </c>
      <c r="D32" s="16" t="s">
        <v>117</v>
      </c>
    </row>
    <row r="33" spans="1:4" ht="13.5" customHeight="1" x14ac:dyDescent="0.4">
      <c r="A33" s="13" t="s">
        <v>118</v>
      </c>
      <c r="B33" s="17">
        <v>0.8</v>
      </c>
      <c r="C33" s="15" t="s">
        <v>65</v>
      </c>
      <c r="D33" s="16" t="s">
        <v>119</v>
      </c>
    </row>
    <row r="34" spans="1:4" ht="15" customHeight="1" x14ac:dyDescent="0.4">
      <c r="A34" s="11" t="s">
        <v>120</v>
      </c>
      <c r="B34" s="12"/>
      <c r="C34" s="12"/>
      <c r="D34" s="12"/>
    </row>
    <row r="35" spans="1:4" ht="13.5" customHeight="1" x14ac:dyDescent="0.4">
      <c r="A35" s="13" t="s">
        <v>121</v>
      </c>
      <c r="B35" s="20">
        <v>35</v>
      </c>
      <c r="C35" s="15" t="s">
        <v>122</v>
      </c>
      <c r="D35" s="16" t="s">
        <v>123</v>
      </c>
    </row>
    <row r="36" spans="1:4" ht="15" customHeight="1" x14ac:dyDescent="0.4">
      <c r="A36" s="13" t="s">
        <v>124</v>
      </c>
      <c r="B36" s="20">
        <v>20</v>
      </c>
      <c r="C36" s="15" t="s">
        <v>125</v>
      </c>
      <c r="D36" s="16"/>
    </row>
    <row r="37" spans="1:4" ht="13.5" customHeight="1" x14ac:dyDescent="0.4">
      <c r="A37" s="13" t="s">
        <v>126</v>
      </c>
      <c r="B37" s="14">
        <v>4500</v>
      </c>
      <c r="C37" s="15" t="s">
        <v>127</v>
      </c>
      <c r="D37" s="16" t="s">
        <v>128</v>
      </c>
    </row>
    <row r="38" spans="1:4" ht="13.5" customHeight="1" x14ac:dyDescent="0.4">
      <c r="A38" s="13" t="s">
        <v>129</v>
      </c>
      <c r="B38" s="14">
        <v>3000</v>
      </c>
      <c r="C38" s="15" t="s">
        <v>127</v>
      </c>
      <c r="D38" s="16" t="s">
        <v>130</v>
      </c>
    </row>
    <row r="39" spans="1:4" ht="13.5" customHeight="1" x14ac:dyDescent="0.4">
      <c r="A39" s="13" t="s">
        <v>131</v>
      </c>
      <c r="B39" s="14">
        <v>150</v>
      </c>
      <c r="C39" s="15" t="s">
        <v>125</v>
      </c>
      <c r="D39" s="16" t="s">
        <v>132</v>
      </c>
    </row>
    <row r="40" spans="1:4" ht="13.5" customHeight="1" x14ac:dyDescent="0.4">
      <c r="A40" s="13" t="s">
        <v>133</v>
      </c>
      <c r="B40" s="14">
        <v>600</v>
      </c>
      <c r="C40" s="15" t="s">
        <v>125</v>
      </c>
      <c r="D40" s="16" t="s">
        <v>134</v>
      </c>
    </row>
    <row r="41" spans="1:4" ht="13.5" customHeight="1" x14ac:dyDescent="0.4">
      <c r="A41" s="13" t="s">
        <v>135</v>
      </c>
      <c r="B41" s="14">
        <v>900</v>
      </c>
      <c r="C41" s="15" t="s">
        <v>125</v>
      </c>
      <c r="D41" s="16" t="s">
        <v>136</v>
      </c>
    </row>
    <row r="42" spans="1:4" ht="13.5" customHeight="1" x14ac:dyDescent="0.4">
      <c r="A42" s="13" t="s">
        <v>137</v>
      </c>
      <c r="B42" s="14">
        <v>2200</v>
      </c>
      <c r="C42" s="15" t="s">
        <v>125</v>
      </c>
      <c r="D42" s="16" t="s">
        <v>138</v>
      </c>
    </row>
    <row r="43" spans="1:4" ht="27" customHeight="1" x14ac:dyDescent="0.4">
      <c r="A43" s="13" t="s">
        <v>139</v>
      </c>
      <c r="B43" s="20">
        <v>10</v>
      </c>
      <c r="C43" s="15" t="s">
        <v>140</v>
      </c>
      <c r="D43" s="16" t="s">
        <v>141</v>
      </c>
    </row>
    <row r="44" spans="1:4" ht="13.5" customHeight="1" x14ac:dyDescent="0.4">
      <c r="A44" s="13" t="s">
        <v>142</v>
      </c>
      <c r="B44" s="17">
        <v>0.1</v>
      </c>
      <c r="C44" s="15" t="s">
        <v>65</v>
      </c>
      <c r="D44" s="16" t="s">
        <v>143</v>
      </c>
    </row>
    <row r="45" spans="1:4" ht="15" customHeight="1" x14ac:dyDescent="0.4">
      <c r="A45" s="11" t="s">
        <v>144</v>
      </c>
      <c r="B45" s="12"/>
      <c r="C45" s="12"/>
      <c r="D45" s="12"/>
    </row>
    <row r="46" spans="1:4" ht="25.5" customHeight="1" x14ac:dyDescent="0.4">
      <c r="A46" s="13" t="s">
        <v>145</v>
      </c>
      <c r="B46" s="19">
        <v>1</v>
      </c>
      <c r="C46" s="15" t="s">
        <v>146</v>
      </c>
      <c r="D46" s="16" t="s">
        <v>147</v>
      </c>
    </row>
    <row r="47" spans="1:4" ht="37.5" customHeight="1" x14ac:dyDescent="0.4">
      <c r="A47" s="13" t="s">
        <v>148</v>
      </c>
      <c r="B47" s="19">
        <v>0</v>
      </c>
      <c r="C47" s="15" t="s">
        <v>149</v>
      </c>
      <c r="D47" s="16" t="s">
        <v>150</v>
      </c>
    </row>
    <row r="48" spans="1:4" ht="25.5" customHeight="1" x14ac:dyDescent="0.4">
      <c r="A48" s="13" t="s">
        <v>151</v>
      </c>
      <c r="B48" s="19">
        <v>0</v>
      </c>
      <c r="C48" s="15" t="s">
        <v>152</v>
      </c>
      <c r="D48" s="16" t="s">
        <v>153</v>
      </c>
    </row>
    <row r="49" spans="1:4" ht="15" customHeight="1" x14ac:dyDescent="0.4">
      <c r="A49" s="11" t="s">
        <v>154</v>
      </c>
      <c r="B49" s="12"/>
      <c r="C49" s="12"/>
      <c r="D49" s="12"/>
    </row>
    <row r="50" spans="1:4" ht="25.5" customHeight="1" x14ac:dyDescent="0.4">
      <c r="A50" s="13" t="s">
        <v>155</v>
      </c>
      <c r="B50" s="19">
        <v>1</v>
      </c>
      <c r="C50" s="15" t="s">
        <v>146</v>
      </c>
      <c r="D50" s="16" t="s">
        <v>156</v>
      </c>
    </row>
    <row r="51" spans="1:4" ht="25.5" customHeight="1" x14ac:dyDescent="0.4">
      <c r="A51" s="13" t="s">
        <v>157</v>
      </c>
      <c r="B51" s="19">
        <v>1</v>
      </c>
      <c r="C51" s="15" t="s">
        <v>158</v>
      </c>
      <c r="D51" s="16" t="s">
        <v>159</v>
      </c>
    </row>
    <row r="52" spans="1:4" ht="25.5" customHeight="1" x14ac:dyDescent="0.4">
      <c r="A52" s="13" t="s">
        <v>160</v>
      </c>
      <c r="B52" s="21">
        <v>0.08</v>
      </c>
      <c r="C52" s="15" t="s">
        <v>161</v>
      </c>
      <c r="D52" s="16" t="s">
        <v>162</v>
      </c>
    </row>
    <row r="53" spans="1:4" ht="13.5" customHeight="1" x14ac:dyDescent="0.4">
      <c r="A53" s="13" t="s">
        <v>163</v>
      </c>
      <c r="B53" s="21">
        <v>7.0000000000000007E-2</v>
      </c>
      <c r="C53" s="15" t="s">
        <v>161</v>
      </c>
      <c r="D53" s="16" t="s">
        <v>164</v>
      </c>
    </row>
    <row r="54" spans="1:4" ht="25.5" customHeight="1" x14ac:dyDescent="0.4">
      <c r="A54" s="13" t="s">
        <v>165</v>
      </c>
      <c r="B54" s="14">
        <v>200</v>
      </c>
      <c r="C54" s="15" t="s">
        <v>54</v>
      </c>
      <c r="D54" s="16" t="s">
        <v>166</v>
      </c>
    </row>
    <row r="55" spans="1:4" ht="13.5" customHeight="1" x14ac:dyDescent="0.4">
      <c r="A55" s="13" t="s">
        <v>167</v>
      </c>
      <c r="B55" s="14">
        <v>100</v>
      </c>
      <c r="C55" s="15" t="s">
        <v>54</v>
      </c>
      <c r="D55" s="16" t="s">
        <v>168</v>
      </c>
    </row>
    <row r="56" spans="1:4" ht="25.5" customHeight="1" x14ac:dyDescent="0.4">
      <c r="A56" s="13" t="s">
        <v>169</v>
      </c>
      <c r="B56" s="14">
        <v>200</v>
      </c>
      <c r="C56" s="15" t="s">
        <v>54</v>
      </c>
      <c r="D56" s="16" t="s">
        <v>170</v>
      </c>
    </row>
    <row r="57" spans="1:4" ht="13.5" customHeight="1" x14ac:dyDescent="0.4">
      <c r="A57" s="13" t="s">
        <v>171</v>
      </c>
      <c r="B57" s="14">
        <v>200</v>
      </c>
      <c r="C57" s="15" t="s">
        <v>54</v>
      </c>
      <c r="D57" s="16" t="s">
        <v>172</v>
      </c>
    </row>
    <row r="58" spans="1:4" ht="15" customHeight="1" x14ac:dyDescent="0.4">
      <c r="A58" s="11" t="s">
        <v>173</v>
      </c>
      <c r="B58" s="12"/>
      <c r="C58" s="12"/>
      <c r="D58" s="12"/>
    </row>
    <row r="59" spans="1:4" ht="13.5" customHeight="1" x14ac:dyDescent="0.4">
      <c r="A59" s="13" t="s">
        <v>174</v>
      </c>
      <c r="B59" s="18">
        <v>10</v>
      </c>
      <c r="C59" s="15" t="s">
        <v>54</v>
      </c>
      <c r="D59" s="16" t="s">
        <v>175</v>
      </c>
    </row>
    <row r="60" spans="1:4" ht="13.5" customHeight="1" x14ac:dyDescent="0.4">
      <c r="A60" s="13" t="s">
        <v>176</v>
      </c>
      <c r="B60" s="19">
        <v>70</v>
      </c>
      <c r="C60" s="15" t="s">
        <v>177</v>
      </c>
      <c r="D60" s="16" t="s">
        <v>178</v>
      </c>
    </row>
    <row r="61" spans="1:4" ht="13.5" customHeight="1" x14ac:dyDescent="0.4">
      <c r="A61" s="13" t="s">
        <v>179</v>
      </c>
      <c r="B61" s="18">
        <v>8</v>
      </c>
      <c r="C61" s="15" t="s">
        <v>54</v>
      </c>
      <c r="D61" s="16" t="s">
        <v>180</v>
      </c>
    </row>
    <row r="62" spans="1:4" ht="13.5" customHeight="1" x14ac:dyDescent="0.4">
      <c r="A62" s="13" t="s">
        <v>181</v>
      </c>
      <c r="B62" s="19">
        <v>30</v>
      </c>
      <c r="C62" s="15" t="s">
        <v>182</v>
      </c>
      <c r="D62" s="16" t="s">
        <v>183</v>
      </c>
    </row>
    <row r="63" spans="1:4" ht="13.5" customHeight="1" x14ac:dyDescent="0.4">
      <c r="A63" s="13" t="s">
        <v>184</v>
      </c>
      <c r="B63" s="19">
        <v>30</v>
      </c>
      <c r="C63" s="15" t="s">
        <v>177</v>
      </c>
      <c r="D63" s="16" t="s">
        <v>185</v>
      </c>
    </row>
    <row r="64" spans="1:4" ht="25.5" customHeight="1" x14ac:dyDescent="0.4">
      <c r="A64" s="13" t="s">
        <v>186</v>
      </c>
      <c r="B64" s="19">
        <v>35</v>
      </c>
      <c r="C64" s="15" t="s">
        <v>177</v>
      </c>
      <c r="D64" s="16" t="s">
        <v>187</v>
      </c>
    </row>
    <row r="65" spans="1:4" ht="25.5" customHeight="1" x14ac:dyDescent="0.4">
      <c r="A65" s="13" t="s">
        <v>188</v>
      </c>
      <c r="B65" s="17">
        <v>1.3</v>
      </c>
      <c r="C65" s="15" t="s">
        <v>189</v>
      </c>
      <c r="D65" s="16" t="s">
        <v>190</v>
      </c>
    </row>
    <row r="66" spans="1:4" ht="25.5" customHeight="1" x14ac:dyDescent="0.4">
      <c r="A66" s="13" t="s">
        <v>191</v>
      </c>
      <c r="B66" s="18">
        <v>8</v>
      </c>
      <c r="C66" s="15" t="s">
        <v>192</v>
      </c>
      <c r="D66" s="16" t="s">
        <v>193</v>
      </c>
    </row>
    <row r="67" spans="1:4" ht="15" customHeight="1" x14ac:dyDescent="0.4">
      <c r="A67" s="11" t="s">
        <v>194</v>
      </c>
      <c r="B67" s="12"/>
      <c r="C67" s="12"/>
      <c r="D67" s="12"/>
    </row>
    <row r="68" spans="1:4" ht="25.5" customHeight="1" x14ac:dyDescent="0.4">
      <c r="A68" s="13" t="s">
        <v>195</v>
      </c>
      <c r="B68" s="17">
        <v>0.2</v>
      </c>
      <c r="C68" s="15" t="s">
        <v>196</v>
      </c>
      <c r="D68" s="16" t="s">
        <v>197</v>
      </c>
    </row>
    <row r="69" spans="1:4" ht="13.5" customHeight="1" x14ac:dyDescent="0.4">
      <c r="A69" s="13" t="s">
        <v>198</v>
      </c>
      <c r="B69" s="17">
        <v>0.25</v>
      </c>
      <c r="C69" s="15" t="s">
        <v>199</v>
      </c>
      <c r="D69" s="16" t="s">
        <v>200</v>
      </c>
    </row>
    <row r="70" spans="1:4" ht="15" customHeight="1" x14ac:dyDescent="0.4">
      <c r="A70" s="11" t="s">
        <v>201</v>
      </c>
      <c r="B70" s="12"/>
      <c r="C70" s="12"/>
      <c r="D70" s="12"/>
    </row>
    <row r="71" spans="1:4" ht="25.5" customHeight="1" x14ac:dyDescent="0.4">
      <c r="A71" s="13" t="s">
        <v>202</v>
      </c>
      <c r="B71" s="18">
        <v>28</v>
      </c>
      <c r="C71" s="15" t="s">
        <v>192</v>
      </c>
      <c r="D71" s="16" t="s">
        <v>203</v>
      </c>
    </row>
    <row r="72" spans="1:4" ht="13.5" customHeight="1" x14ac:dyDescent="0.4">
      <c r="A72" s="13" t="s">
        <v>204</v>
      </c>
      <c r="B72" s="17">
        <v>0.94</v>
      </c>
      <c r="C72" s="15" t="s">
        <v>65</v>
      </c>
      <c r="D72" s="16" t="s">
        <v>205</v>
      </c>
    </row>
    <row r="73" spans="1:4" ht="13.5" customHeight="1" x14ac:dyDescent="0.4">
      <c r="A73" s="13" t="s">
        <v>206</v>
      </c>
      <c r="B73" s="14">
        <v>4200</v>
      </c>
      <c r="C73" s="15" t="s">
        <v>125</v>
      </c>
      <c r="D73" s="16" t="s">
        <v>207</v>
      </c>
    </row>
    <row r="74" spans="1:4" ht="13.5" customHeight="1" x14ac:dyDescent="0.4">
      <c r="A74" s="13" t="s">
        <v>208</v>
      </c>
      <c r="B74" s="14">
        <v>150</v>
      </c>
      <c r="C74" s="15" t="s">
        <v>209</v>
      </c>
      <c r="D74" s="16" t="s">
        <v>210</v>
      </c>
    </row>
    <row r="75" spans="1:4" ht="13.5" customHeight="1" x14ac:dyDescent="0.4">
      <c r="A75" s="13" t="s">
        <v>211</v>
      </c>
      <c r="B75" s="14">
        <v>0</v>
      </c>
      <c r="C75" s="15" t="s">
        <v>212</v>
      </c>
      <c r="D75" s="16" t="s">
        <v>213</v>
      </c>
    </row>
    <row r="76" spans="1:4" ht="25.5" customHeight="1" x14ac:dyDescent="0.4">
      <c r="A76" s="13" t="s">
        <v>214</v>
      </c>
      <c r="B76" s="22">
        <v>0.14000000000000001</v>
      </c>
      <c r="C76" s="15" t="s">
        <v>215</v>
      </c>
      <c r="D76" s="16" t="s">
        <v>216</v>
      </c>
    </row>
    <row r="77" spans="1:4" ht="25.5" customHeight="1" x14ac:dyDescent="0.4">
      <c r="A77" s="13" t="s">
        <v>217</v>
      </c>
      <c r="B77" s="23">
        <v>0.3</v>
      </c>
      <c r="C77" s="15" t="s">
        <v>218</v>
      </c>
      <c r="D77" s="16" t="s">
        <v>219</v>
      </c>
    </row>
    <row r="78" spans="1:4" ht="25.5" customHeight="1" x14ac:dyDescent="0.4">
      <c r="A78" s="13" t="s">
        <v>220</v>
      </c>
      <c r="B78" s="23">
        <v>0.03</v>
      </c>
      <c r="C78" s="15" t="s">
        <v>218</v>
      </c>
      <c r="D78" s="16" t="s">
        <v>953</v>
      </c>
    </row>
    <row r="79" spans="1:4" ht="25.5" customHeight="1" x14ac:dyDescent="0.4">
      <c r="A79" s="13" t="s">
        <v>221</v>
      </c>
      <c r="B79" s="14">
        <v>10</v>
      </c>
      <c r="C79" s="15" t="s">
        <v>125</v>
      </c>
      <c r="D79" s="16" t="s">
        <v>222</v>
      </c>
    </row>
    <row r="80" spans="1:4" ht="15" customHeight="1" x14ac:dyDescent="0.4">
      <c r="A80" s="11" t="s">
        <v>223</v>
      </c>
      <c r="B80" s="12"/>
      <c r="C80" s="12"/>
      <c r="D80" s="12"/>
    </row>
    <row r="81" spans="1:4" ht="13.5" customHeight="1" x14ac:dyDescent="0.4">
      <c r="A81" s="13" t="s">
        <v>224</v>
      </c>
      <c r="B81" s="17">
        <v>4</v>
      </c>
      <c r="C81" s="15" t="s">
        <v>225</v>
      </c>
      <c r="D81" s="16" t="s">
        <v>226</v>
      </c>
    </row>
    <row r="82" spans="1:4" ht="13.5" customHeight="1" x14ac:dyDescent="0.4">
      <c r="A82" s="13" t="s">
        <v>227</v>
      </c>
      <c r="B82" s="17">
        <v>2</v>
      </c>
      <c r="C82" s="15" t="s">
        <v>225</v>
      </c>
      <c r="D82" s="16" t="s">
        <v>228</v>
      </c>
    </row>
    <row r="83" spans="1:4" ht="37.5" customHeight="1" x14ac:dyDescent="0.4">
      <c r="A83" s="13" t="s">
        <v>229</v>
      </c>
      <c r="B83" s="17">
        <v>0.25</v>
      </c>
      <c r="C83" s="15" t="s">
        <v>65</v>
      </c>
      <c r="D83" s="16" t="s">
        <v>230</v>
      </c>
    </row>
    <row r="84" spans="1:4" ht="13.5" customHeight="1" x14ac:dyDescent="0.4">
      <c r="A84" s="13" t="s">
        <v>231</v>
      </c>
      <c r="B84" s="19">
        <v>1</v>
      </c>
      <c r="C84" s="15" t="s">
        <v>158</v>
      </c>
      <c r="D84" s="16" t="s">
        <v>232</v>
      </c>
    </row>
    <row r="85" spans="1:4" ht="13.5" customHeight="1" x14ac:dyDescent="0.4">
      <c r="A85" s="13" t="s">
        <v>233</v>
      </c>
      <c r="B85" s="19">
        <v>8</v>
      </c>
      <c r="C85" s="15" t="s">
        <v>196</v>
      </c>
      <c r="D85" s="16" t="s">
        <v>234</v>
      </c>
    </row>
    <row r="86" spans="1:4" ht="13.5" customHeight="1" x14ac:dyDescent="0.4">
      <c r="A86" s="13" t="s">
        <v>235</v>
      </c>
      <c r="B86" s="23">
        <v>0.2</v>
      </c>
      <c r="C86" s="15" t="s">
        <v>236</v>
      </c>
      <c r="D86" s="16" t="s">
        <v>237</v>
      </c>
    </row>
    <row r="87" spans="1:4" ht="25.5" customHeight="1" x14ac:dyDescent="0.4">
      <c r="A87" s="13" t="s">
        <v>238</v>
      </c>
      <c r="B87" s="23">
        <v>0.5</v>
      </c>
      <c r="C87" s="15" t="s">
        <v>239</v>
      </c>
      <c r="D87" s="16" t="s">
        <v>240</v>
      </c>
    </row>
    <row r="88" spans="1:4" ht="25.5" customHeight="1" x14ac:dyDescent="0.4">
      <c r="A88" s="13" t="s">
        <v>241</v>
      </c>
      <c r="B88" s="22">
        <v>0.25</v>
      </c>
      <c r="C88" s="15" t="s">
        <v>242</v>
      </c>
      <c r="D88" s="16" t="s">
        <v>243</v>
      </c>
    </row>
    <row r="89" spans="1:4" ht="15" customHeight="1" x14ac:dyDescent="0.4">
      <c r="A89" s="11" t="s">
        <v>244</v>
      </c>
      <c r="B89" s="12"/>
      <c r="C89" s="12"/>
      <c r="D89" s="12"/>
    </row>
    <row r="90" spans="1:4" ht="13.5" customHeight="1" x14ac:dyDescent="0.4">
      <c r="A90" s="13" t="s">
        <v>245</v>
      </c>
      <c r="B90" s="17">
        <v>0.35</v>
      </c>
      <c r="C90" s="15" t="s">
        <v>246</v>
      </c>
      <c r="D90" s="16" t="s">
        <v>247</v>
      </c>
    </row>
    <row r="91" spans="1:4" ht="13.5" customHeight="1" x14ac:dyDescent="0.4">
      <c r="A91" s="13" t="s">
        <v>248</v>
      </c>
      <c r="B91" s="14">
        <v>55</v>
      </c>
      <c r="C91" s="15" t="s">
        <v>249</v>
      </c>
      <c r="D91" s="16" t="s">
        <v>250</v>
      </c>
    </row>
    <row r="92" spans="1:4" ht="13.5" customHeight="1" x14ac:dyDescent="0.4">
      <c r="A92" s="13" t="s">
        <v>251</v>
      </c>
      <c r="B92" s="18">
        <v>4</v>
      </c>
      <c r="C92" s="15" t="s">
        <v>54</v>
      </c>
      <c r="D92" s="16" t="s">
        <v>252</v>
      </c>
    </row>
    <row r="93" spans="1:4" ht="13.5" customHeight="1" x14ac:dyDescent="0.4">
      <c r="A93" s="13" t="s">
        <v>253</v>
      </c>
      <c r="B93" s="18">
        <v>5</v>
      </c>
      <c r="C93" s="15" t="s">
        <v>54</v>
      </c>
      <c r="D93" s="16" t="s">
        <v>254</v>
      </c>
    </row>
    <row r="94" spans="1:4" ht="13.5" customHeight="1" x14ac:dyDescent="0.4">
      <c r="A94" s="13" t="s">
        <v>255</v>
      </c>
      <c r="B94" s="19">
        <v>2</v>
      </c>
      <c r="C94" s="15" t="s">
        <v>256</v>
      </c>
      <c r="D94" s="16" t="s">
        <v>257</v>
      </c>
    </row>
    <row r="95" spans="1:4" ht="13.5" customHeight="1" x14ac:dyDescent="0.4">
      <c r="A95" s="13" t="s">
        <v>258</v>
      </c>
      <c r="B95" s="14">
        <v>300</v>
      </c>
      <c r="C95" s="15" t="s">
        <v>54</v>
      </c>
      <c r="D95" s="16" t="s">
        <v>259</v>
      </c>
    </row>
    <row r="96" spans="1:4" ht="25.5" customHeight="1" x14ac:dyDescent="0.4">
      <c r="A96" s="13" t="s">
        <v>260</v>
      </c>
      <c r="B96" s="14">
        <v>500</v>
      </c>
      <c r="C96" s="15" t="s">
        <v>261</v>
      </c>
      <c r="D96" s="16" t="s">
        <v>262</v>
      </c>
    </row>
    <row r="97" spans="1:4" ht="13.5" customHeight="1" x14ac:dyDescent="0.4">
      <c r="A97" s="13" t="s">
        <v>263</v>
      </c>
      <c r="B97" s="17">
        <v>1.6</v>
      </c>
      <c r="C97" s="15" t="s">
        <v>199</v>
      </c>
      <c r="D97" s="16" t="s">
        <v>264</v>
      </c>
    </row>
    <row r="98" spans="1:4" ht="13.5" customHeight="1" x14ac:dyDescent="0.4">
      <c r="A98" s="13" t="s">
        <v>265</v>
      </c>
      <c r="B98" s="19">
        <v>1</v>
      </c>
      <c r="C98" s="15" t="s">
        <v>266</v>
      </c>
      <c r="D98" s="16" t="s">
        <v>267</v>
      </c>
    </row>
    <row r="99" spans="1:4" ht="13.5" customHeight="1" x14ac:dyDescent="0.4">
      <c r="A99" s="13" t="s">
        <v>268</v>
      </c>
      <c r="B99" s="19">
        <v>2</v>
      </c>
      <c r="C99" s="15" t="s">
        <v>158</v>
      </c>
      <c r="D99" s="16" t="s">
        <v>269</v>
      </c>
    </row>
    <row r="100" spans="1:4" ht="13.5" customHeight="1" x14ac:dyDescent="0.4">
      <c r="A100" s="13" t="s">
        <v>270</v>
      </c>
      <c r="B100" s="18">
        <v>1.5</v>
      </c>
      <c r="C100" s="15" t="s">
        <v>271</v>
      </c>
      <c r="D100" s="16" t="s">
        <v>272</v>
      </c>
    </row>
    <row r="101" spans="1:4" ht="13.5" customHeight="1" x14ac:dyDescent="0.4">
      <c r="A101" s="13" t="s">
        <v>273</v>
      </c>
      <c r="B101" s="17">
        <v>0.35</v>
      </c>
      <c r="C101" s="15" t="s">
        <v>189</v>
      </c>
      <c r="D101" s="16" t="s">
        <v>274</v>
      </c>
    </row>
    <row r="102" spans="1:4" ht="13.5" customHeight="1" x14ac:dyDescent="0.4">
      <c r="A102" s="13" t="s">
        <v>275</v>
      </c>
      <c r="B102" s="14">
        <v>60</v>
      </c>
      <c r="C102" s="15" t="s">
        <v>54</v>
      </c>
      <c r="D102" s="16" t="s">
        <v>276</v>
      </c>
    </row>
    <row r="103" spans="1:4" ht="13.5" customHeight="1" x14ac:dyDescent="0.4">
      <c r="A103" s="13" t="s">
        <v>277</v>
      </c>
      <c r="B103" s="19">
        <v>30</v>
      </c>
      <c r="C103" s="15" t="s">
        <v>97</v>
      </c>
      <c r="D103" s="16" t="s">
        <v>278</v>
      </c>
    </row>
  </sheetData>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40"/>
  <sheetViews>
    <sheetView showGridLines="0" zoomScaleNormal="100" workbookViewId="0">
      <pane ySplit="5" topLeftCell="A6" activePane="bottomLeft" state="frozen"/>
      <selection pane="bottomLeft"/>
    </sheetView>
  </sheetViews>
  <sheetFormatPr defaultColWidth="8.69140625" defaultRowHeight="14.6" x14ac:dyDescent="0.4"/>
  <cols>
    <col min="1" max="1" width="34" customWidth="1"/>
    <col min="2" max="3" width="16" customWidth="1"/>
    <col min="4" max="4" width="14" customWidth="1"/>
    <col min="5" max="5" width="18" customWidth="1"/>
    <col min="6" max="8" width="16" customWidth="1"/>
    <col min="9" max="9" width="24" customWidth="1"/>
  </cols>
  <sheetData>
    <row r="1" spans="1:9" ht="17.25" customHeight="1" x14ac:dyDescent="0.4">
      <c r="A1" s="7" t="s">
        <v>279</v>
      </c>
      <c r="B1" s="8"/>
      <c r="C1" s="8"/>
      <c r="D1" s="8"/>
      <c r="E1" s="8"/>
      <c r="F1" s="8"/>
      <c r="G1" s="8"/>
      <c r="H1" s="8"/>
      <c r="I1" s="8"/>
    </row>
    <row r="2" spans="1:9" ht="15" customHeight="1" x14ac:dyDescent="0.4">
      <c r="A2" s="9" t="s">
        <v>280</v>
      </c>
      <c r="B2" s="8"/>
      <c r="C2" s="8"/>
      <c r="D2" s="8"/>
      <c r="E2" s="8"/>
      <c r="F2" s="8"/>
      <c r="G2" s="8"/>
      <c r="H2" s="8"/>
      <c r="I2" s="8"/>
    </row>
    <row r="3" spans="1:9" ht="15" customHeight="1" x14ac:dyDescent="0.4">
      <c r="A3" s="8"/>
      <c r="B3" s="8"/>
      <c r="C3" s="8"/>
      <c r="D3" s="8"/>
      <c r="E3" s="8"/>
      <c r="F3" s="8"/>
      <c r="G3" s="8"/>
      <c r="H3" s="8"/>
      <c r="I3" s="8"/>
    </row>
    <row r="4" spans="1:9" ht="15" customHeight="1" x14ac:dyDescent="0.4">
      <c r="A4" s="8"/>
      <c r="B4" s="8"/>
      <c r="C4" s="8"/>
      <c r="D4" s="8"/>
      <c r="E4" s="8"/>
      <c r="F4" s="8"/>
      <c r="G4" s="8"/>
      <c r="H4" s="8"/>
      <c r="I4" s="8"/>
    </row>
    <row r="5" spans="1:9" ht="30" customHeight="1" x14ac:dyDescent="0.4">
      <c r="A5" s="10" t="s">
        <v>281</v>
      </c>
      <c r="B5" s="10" t="s">
        <v>282</v>
      </c>
      <c r="C5" s="10" t="s">
        <v>283</v>
      </c>
      <c r="D5" s="10" t="s">
        <v>284</v>
      </c>
      <c r="E5" s="10" t="s">
        <v>285</v>
      </c>
      <c r="F5" s="10" t="s">
        <v>286</v>
      </c>
      <c r="G5" s="10" t="s">
        <v>287</v>
      </c>
      <c r="H5" s="10" t="s">
        <v>288</v>
      </c>
      <c r="I5" s="10" t="s">
        <v>289</v>
      </c>
    </row>
    <row r="6" spans="1:9" ht="15" customHeight="1" x14ac:dyDescent="0.4">
      <c r="A6" s="13" t="s">
        <v>290</v>
      </c>
      <c r="B6" s="24">
        <v>18</v>
      </c>
      <c r="C6" s="24">
        <v>8.5</v>
      </c>
      <c r="D6" s="25">
        <f>Inputs!$B$6*Inputs!$B$7</f>
        <v>10000</v>
      </c>
      <c r="E6" s="25">
        <f t="shared" ref="E6:E25" si="0">D6*B6</f>
        <v>180000</v>
      </c>
      <c r="F6" s="25">
        <f t="shared" ref="F6:F25" si="1">D6*C6</f>
        <v>85000</v>
      </c>
      <c r="G6" s="25">
        <f>F6*Inputs!$B$8</f>
        <v>118999.99999999999</v>
      </c>
      <c r="H6" s="26">
        <f t="shared" ref="H6:H26" si="2">IFERROR(E6/G6,0)</f>
        <v>1.5126050420168069</v>
      </c>
      <c r="I6" s="27" t="str">
        <f>IF(H6&lt;=Economics!$B$21,"Yes","No")</f>
        <v>Yes</v>
      </c>
    </row>
    <row r="7" spans="1:9" ht="15" customHeight="1" x14ac:dyDescent="0.4">
      <c r="A7" s="13" t="s">
        <v>291</v>
      </c>
      <c r="B7" s="24">
        <v>23</v>
      </c>
      <c r="C7" s="24">
        <v>8</v>
      </c>
      <c r="D7" s="25">
        <f>Inputs!$B$6*Inputs!$B$7</f>
        <v>10000</v>
      </c>
      <c r="E7" s="25">
        <f t="shared" si="0"/>
        <v>230000</v>
      </c>
      <c r="F7" s="25">
        <f t="shared" si="1"/>
        <v>80000</v>
      </c>
      <c r="G7" s="25">
        <f>F7*Inputs!$B$8</f>
        <v>112000</v>
      </c>
      <c r="H7" s="26">
        <f t="shared" si="2"/>
        <v>2.0535714285714284</v>
      </c>
      <c r="I7" s="27" t="str">
        <f>IF(H7&lt;=Economics!$B$21,"Yes","No")</f>
        <v>Yes</v>
      </c>
    </row>
    <row r="8" spans="1:9" ht="15" customHeight="1" x14ac:dyDescent="0.4">
      <c r="A8" s="13" t="s">
        <v>292</v>
      </c>
      <c r="B8" s="24">
        <v>29</v>
      </c>
      <c r="C8" s="24">
        <v>7.5</v>
      </c>
      <c r="D8" s="25">
        <f>Inputs!$B$6*Inputs!$B$7</f>
        <v>10000</v>
      </c>
      <c r="E8" s="25">
        <f t="shared" si="0"/>
        <v>290000</v>
      </c>
      <c r="F8" s="25">
        <f t="shared" si="1"/>
        <v>75000</v>
      </c>
      <c r="G8" s="25">
        <f>F8*Inputs!$B$8</f>
        <v>105000</v>
      </c>
      <c r="H8" s="26">
        <f t="shared" si="2"/>
        <v>2.7619047619047619</v>
      </c>
      <c r="I8" s="27" t="str">
        <f>IF(H8&lt;=Economics!$B$21,"Yes","No")</f>
        <v>Yes</v>
      </c>
    </row>
    <row r="9" spans="1:9" ht="15" customHeight="1" x14ac:dyDescent="0.4">
      <c r="A9" s="13" t="s">
        <v>293</v>
      </c>
      <c r="B9" s="24">
        <v>36</v>
      </c>
      <c r="C9" s="24">
        <v>7</v>
      </c>
      <c r="D9" s="25">
        <f>Inputs!$B$6*Inputs!$B$7</f>
        <v>10000</v>
      </c>
      <c r="E9" s="25">
        <f t="shared" si="0"/>
        <v>360000</v>
      </c>
      <c r="F9" s="25">
        <f t="shared" si="1"/>
        <v>70000</v>
      </c>
      <c r="G9" s="25">
        <f>F9*Inputs!$B$8</f>
        <v>98000</v>
      </c>
      <c r="H9" s="26">
        <f t="shared" si="2"/>
        <v>3.6734693877551021</v>
      </c>
      <c r="I9" s="27" t="str">
        <f>IF(H9&lt;=Economics!$B$21,"Yes","No")</f>
        <v>Yes</v>
      </c>
    </row>
    <row r="10" spans="1:9" ht="15" customHeight="1" x14ac:dyDescent="0.4">
      <c r="A10" s="13" t="s">
        <v>294</v>
      </c>
      <c r="B10" s="24">
        <v>45</v>
      </c>
      <c r="C10" s="24">
        <v>6.5</v>
      </c>
      <c r="D10" s="25">
        <f>Inputs!$B$6*Inputs!$B$7</f>
        <v>10000</v>
      </c>
      <c r="E10" s="25">
        <f t="shared" si="0"/>
        <v>450000</v>
      </c>
      <c r="F10" s="25">
        <f t="shared" si="1"/>
        <v>65000</v>
      </c>
      <c r="G10" s="25">
        <f>F10*Inputs!$B$8</f>
        <v>91000</v>
      </c>
      <c r="H10" s="26">
        <f t="shared" si="2"/>
        <v>4.9450549450549453</v>
      </c>
      <c r="I10" s="27" t="str">
        <f>IF(H10&lt;=Economics!$B$21,"Yes","No")</f>
        <v>No</v>
      </c>
    </row>
    <row r="11" spans="1:9" ht="15" customHeight="1" x14ac:dyDescent="0.4">
      <c r="A11" s="13" t="s">
        <v>295</v>
      </c>
      <c r="B11" s="24">
        <v>20</v>
      </c>
      <c r="C11" s="24">
        <v>9</v>
      </c>
      <c r="D11" s="25">
        <f>Inputs!$B$6*Inputs!$B$7</f>
        <v>10000</v>
      </c>
      <c r="E11" s="25">
        <f t="shared" si="0"/>
        <v>200000</v>
      </c>
      <c r="F11" s="25">
        <f t="shared" si="1"/>
        <v>90000</v>
      </c>
      <c r="G11" s="25">
        <f>F11*Inputs!$B$8</f>
        <v>125999.99999999999</v>
      </c>
      <c r="H11" s="26">
        <f t="shared" si="2"/>
        <v>1.5873015873015874</v>
      </c>
      <c r="I11" s="27" t="str">
        <f>IF(H11&lt;=Economics!$B$21,"Yes","No")</f>
        <v>Yes</v>
      </c>
    </row>
    <row r="12" spans="1:9" ht="15" customHeight="1" x14ac:dyDescent="0.4">
      <c r="A12" s="13" t="s">
        <v>296</v>
      </c>
      <c r="B12" s="24">
        <v>25</v>
      </c>
      <c r="C12" s="24">
        <v>8.5</v>
      </c>
      <c r="D12" s="25">
        <f>Inputs!$B$6*Inputs!$B$7</f>
        <v>10000</v>
      </c>
      <c r="E12" s="25">
        <f t="shared" si="0"/>
        <v>250000</v>
      </c>
      <c r="F12" s="25">
        <f t="shared" si="1"/>
        <v>85000</v>
      </c>
      <c r="G12" s="25">
        <f>F12*Inputs!$B$8</f>
        <v>118999.99999999999</v>
      </c>
      <c r="H12" s="26">
        <f t="shared" si="2"/>
        <v>2.1008403361344539</v>
      </c>
      <c r="I12" s="27" t="str">
        <f>IF(H12&lt;=Economics!$B$21,"Yes","No")</f>
        <v>Yes</v>
      </c>
    </row>
    <row r="13" spans="1:9" ht="15" customHeight="1" x14ac:dyDescent="0.4">
      <c r="A13" s="13" t="s">
        <v>297</v>
      </c>
      <c r="B13" s="24">
        <v>31</v>
      </c>
      <c r="C13" s="24">
        <v>8</v>
      </c>
      <c r="D13" s="25">
        <f>Inputs!$B$6*Inputs!$B$7</f>
        <v>10000</v>
      </c>
      <c r="E13" s="25">
        <f t="shared" si="0"/>
        <v>310000</v>
      </c>
      <c r="F13" s="25">
        <f t="shared" si="1"/>
        <v>80000</v>
      </c>
      <c r="G13" s="25">
        <f>F13*Inputs!$B$8</f>
        <v>112000</v>
      </c>
      <c r="H13" s="26">
        <f t="shared" si="2"/>
        <v>2.7678571428571428</v>
      </c>
      <c r="I13" s="27" t="str">
        <f>IF(H13&lt;=Economics!$B$21,"Yes","No")</f>
        <v>Yes</v>
      </c>
    </row>
    <row r="14" spans="1:9" ht="15" customHeight="1" x14ac:dyDescent="0.4">
      <c r="A14" s="13" t="s">
        <v>298</v>
      </c>
      <c r="B14" s="24">
        <v>38</v>
      </c>
      <c r="C14" s="24">
        <v>7.5</v>
      </c>
      <c r="D14" s="25">
        <f>Inputs!$B$6*Inputs!$B$7</f>
        <v>10000</v>
      </c>
      <c r="E14" s="25">
        <f t="shared" si="0"/>
        <v>380000</v>
      </c>
      <c r="F14" s="25">
        <f t="shared" si="1"/>
        <v>75000</v>
      </c>
      <c r="G14" s="25">
        <f>F14*Inputs!$B$8</f>
        <v>105000</v>
      </c>
      <c r="H14" s="26">
        <f t="shared" si="2"/>
        <v>3.6190476190476191</v>
      </c>
      <c r="I14" s="27" t="str">
        <f>IF(H14&lt;=Economics!$B$21,"Yes","No")</f>
        <v>Yes</v>
      </c>
    </row>
    <row r="15" spans="1:9" ht="15" customHeight="1" x14ac:dyDescent="0.4">
      <c r="A15" s="13" t="s">
        <v>299</v>
      </c>
      <c r="B15" s="24">
        <v>47</v>
      </c>
      <c r="C15" s="24">
        <v>6.5</v>
      </c>
      <c r="D15" s="25">
        <f>Inputs!$B$6*Inputs!$B$7</f>
        <v>10000</v>
      </c>
      <c r="E15" s="25">
        <f t="shared" si="0"/>
        <v>470000</v>
      </c>
      <c r="F15" s="25">
        <f t="shared" si="1"/>
        <v>65000</v>
      </c>
      <c r="G15" s="25">
        <f>F15*Inputs!$B$8</f>
        <v>91000</v>
      </c>
      <c r="H15" s="26">
        <f t="shared" si="2"/>
        <v>5.1648351648351651</v>
      </c>
      <c r="I15" s="27" t="str">
        <f>IF(H15&lt;=Economics!$B$21,"Yes","No")</f>
        <v>No</v>
      </c>
    </row>
    <row r="16" spans="1:9" ht="15" customHeight="1" x14ac:dyDescent="0.4">
      <c r="A16" s="13" t="s">
        <v>300</v>
      </c>
      <c r="B16" s="24">
        <v>19</v>
      </c>
      <c r="C16" s="24">
        <v>9.5</v>
      </c>
      <c r="D16" s="25">
        <f>Inputs!$B$6*Inputs!$B$7</f>
        <v>10000</v>
      </c>
      <c r="E16" s="25">
        <f t="shared" si="0"/>
        <v>190000</v>
      </c>
      <c r="F16" s="25">
        <f t="shared" si="1"/>
        <v>95000</v>
      </c>
      <c r="G16" s="25">
        <f>F16*Inputs!$B$8</f>
        <v>133000</v>
      </c>
      <c r="H16" s="26">
        <f t="shared" si="2"/>
        <v>1.4285714285714286</v>
      </c>
      <c r="I16" s="27" t="str">
        <f>IF(H16&lt;=Economics!$B$21,"Yes","No")</f>
        <v>Yes</v>
      </c>
    </row>
    <row r="17" spans="1:9" ht="15" customHeight="1" x14ac:dyDescent="0.4">
      <c r="A17" s="13" t="s">
        <v>301</v>
      </c>
      <c r="B17" s="24">
        <v>24</v>
      </c>
      <c r="C17" s="24">
        <v>9</v>
      </c>
      <c r="D17" s="25">
        <f>Inputs!$B$6*Inputs!$B$7</f>
        <v>10000</v>
      </c>
      <c r="E17" s="25">
        <f t="shared" si="0"/>
        <v>240000</v>
      </c>
      <c r="F17" s="25">
        <f t="shared" si="1"/>
        <v>90000</v>
      </c>
      <c r="G17" s="25">
        <f>F17*Inputs!$B$8</f>
        <v>125999.99999999999</v>
      </c>
      <c r="H17" s="26">
        <f t="shared" si="2"/>
        <v>1.9047619047619049</v>
      </c>
      <c r="I17" s="27" t="str">
        <f>IF(H17&lt;=Economics!$B$21,"Yes","No")</f>
        <v>Yes</v>
      </c>
    </row>
    <row r="18" spans="1:9" ht="15" customHeight="1" x14ac:dyDescent="0.4">
      <c r="A18" s="13" t="s">
        <v>302</v>
      </c>
      <c r="B18" s="24">
        <v>30</v>
      </c>
      <c r="C18" s="24">
        <v>8.5</v>
      </c>
      <c r="D18" s="25">
        <f>Inputs!$B$6*Inputs!$B$7</f>
        <v>10000</v>
      </c>
      <c r="E18" s="25">
        <f t="shared" si="0"/>
        <v>300000</v>
      </c>
      <c r="F18" s="25">
        <f t="shared" si="1"/>
        <v>85000</v>
      </c>
      <c r="G18" s="25">
        <f>F18*Inputs!$B$8</f>
        <v>118999.99999999999</v>
      </c>
      <c r="H18" s="26">
        <f t="shared" si="2"/>
        <v>2.5210084033613449</v>
      </c>
      <c r="I18" s="27" t="str">
        <f>IF(H18&lt;=Economics!$B$21,"Yes","No")</f>
        <v>Yes</v>
      </c>
    </row>
    <row r="19" spans="1:9" ht="15" customHeight="1" x14ac:dyDescent="0.4">
      <c r="A19" s="13" t="s">
        <v>303</v>
      </c>
      <c r="B19" s="24">
        <v>37</v>
      </c>
      <c r="C19" s="24">
        <v>8</v>
      </c>
      <c r="D19" s="25">
        <f>Inputs!$B$6*Inputs!$B$7</f>
        <v>10000</v>
      </c>
      <c r="E19" s="25">
        <f t="shared" si="0"/>
        <v>370000</v>
      </c>
      <c r="F19" s="25">
        <f t="shared" si="1"/>
        <v>80000</v>
      </c>
      <c r="G19" s="25">
        <f>F19*Inputs!$B$8</f>
        <v>112000</v>
      </c>
      <c r="H19" s="26">
        <f t="shared" si="2"/>
        <v>3.3035714285714284</v>
      </c>
      <c r="I19" s="27" t="str">
        <f>IF(H19&lt;=Economics!$B$21,"Yes","No")</f>
        <v>Yes</v>
      </c>
    </row>
    <row r="20" spans="1:9" ht="15" customHeight="1" x14ac:dyDescent="0.4">
      <c r="A20" s="13" t="s">
        <v>304</v>
      </c>
      <c r="B20" s="24">
        <v>44</v>
      </c>
      <c r="C20" s="24">
        <v>7</v>
      </c>
      <c r="D20" s="25">
        <f>Inputs!$B$6*Inputs!$B$7</f>
        <v>10000</v>
      </c>
      <c r="E20" s="25">
        <f t="shared" si="0"/>
        <v>440000</v>
      </c>
      <c r="F20" s="25">
        <f t="shared" si="1"/>
        <v>70000</v>
      </c>
      <c r="G20" s="25">
        <f>F20*Inputs!$B$8</f>
        <v>98000</v>
      </c>
      <c r="H20" s="26">
        <f t="shared" si="2"/>
        <v>4.4897959183673466</v>
      </c>
      <c r="I20" s="27" t="str">
        <f>IF(H20&lt;=Economics!$B$21,"Yes","No")</f>
        <v>No</v>
      </c>
    </row>
    <row r="21" spans="1:9" ht="15" customHeight="1" x14ac:dyDescent="0.4">
      <c r="A21" s="13" t="s">
        <v>305</v>
      </c>
      <c r="B21" s="24">
        <v>17</v>
      </c>
      <c r="C21" s="24">
        <v>9</v>
      </c>
      <c r="D21" s="25">
        <f>Inputs!$B$6*Inputs!$B$7</f>
        <v>10000</v>
      </c>
      <c r="E21" s="25">
        <f t="shared" si="0"/>
        <v>170000</v>
      </c>
      <c r="F21" s="25">
        <f t="shared" si="1"/>
        <v>90000</v>
      </c>
      <c r="G21" s="25">
        <f>F21*Inputs!$B$8</f>
        <v>125999.99999999999</v>
      </c>
      <c r="H21" s="26">
        <f t="shared" si="2"/>
        <v>1.3492063492063493</v>
      </c>
      <c r="I21" s="27" t="str">
        <f>IF(H21&lt;=Economics!$B$21,"Yes","No")</f>
        <v>Yes</v>
      </c>
    </row>
    <row r="22" spans="1:9" ht="15" customHeight="1" x14ac:dyDescent="0.4">
      <c r="A22" s="13" t="s">
        <v>306</v>
      </c>
      <c r="B22" s="24">
        <v>22</v>
      </c>
      <c r="C22" s="24">
        <v>8.5</v>
      </c>
      <c r="D22" s="25">
        <f>Inputs!$B$6*Inputs!$B$7</f>
        <v>10000</v>
      </c>
      <c r="E22" s="25">
        <f t="shared" si="0"/>
        <v>220000</v>
      </c>
      <c r="F22" s="25">
        <f t="shared" si="1"/>
        <v>85000</v>
      </c>
      <c r="G22" s="25">
        <f>F22*Inputs!$B$8</f>
        <v>118999.99999999999</v>
      </c>
      <c r="H22" s="26">
        <f t="shared" si="2"/>
        <v>1.8487394957983196</v>
      </c>
      <c r="I22" s="27" t="str">
        <f>IF(H22&lt;=Economics!$B$21,"Yes","No")</f>
        <v>Yes</v>
      </c>
    </row>
    <row r="23" spans="1:9" ht="15" customHeight="1" x14ac:dyDescent="0.4">
      <c r="A23" s="13" t="s">
        <v>307</v>
      </c>
      <c r="B23" s="24">
        <v>28</v>
      </c>
      <c r="C23" s="24">
        <v>8</v>
      </c>
      <c r="D23" s="25">
        <f>Inputs!$B$6*Inputs!$B$7</f>
        <v>10000</v>
      </c>
      <c r="E23" s="25">
        <f t="shared" si="0"/>
        <v>280000</v>
      </c>
      <c r="F23" s="25">
        <f t="shared" si="1"/>
        <v>80000</v>
      </c>
      <c r="G23" s="25">
        <f>F23*Inputs!$B$8</f>
        <v>112000</v>
      </c>
      <c r="H23" s="26">
        <f t="shared" si="2"/>
        <v>2.5</v>
      </c>
      <c r="I23" s="27" t="str">
        <f>IF(H23&lt;=Economics!$B$21,"Yes","No")</f>
        <v>Yes</v>
      </c>
    </row>
    <row r="24" spans="1:9" ht="15" customHeight="1" x14ac:dyDescent="0.4">
      <c r="A24" s="13" t="s">
        <v>308</v>
      </c>
      <c r="B24" s="24">
        <v>35</v>
      </c>
      <c r="C24" s="24">
        <v>7</v>
      </c>
      <c r="D24" s="25">
        <f>Inputs!$B$6*Inputs!$B$7</f>
        <v>10000</v>
      </c>
      <c r="E24" s="25">
        <f t="shared" si="0"/>
        <v>350000</v>
      </c>
      <c r="F24" s="25">
        <f t="shared" si="1"/>
        <v>70000</v>
      </c>
      <c r="G24" s="25">
        <f>F24*Inputs!$B$8</f>
        <v>98000</v>
      </c>
      <c r="H24" s="26">
        <f t="shared" si="2"/>
        <v>3.5714285714285716</v>
      </c>
      <c r="I24" s="27" t="str">
        <f>IF(H24&lt;=Economics!$B$21,"Yes","No")</f>
        <v>Yes</v>
      </c>
    </row>
    <row r="25" spans="1:9" ht="15" customHeight="1" x14ac:dyDescent="0.4">
      <c r="A25" s="13" t="s">
        <v>309</v>
      </c>
      <c r="B25" s="24">
        <v>43</v>
      </c>
      <c r="C25" s="24">
        <v>6</v>
      </c>
      <c r="D25" s="25">
        <f>Inputs!$B$6*Inputs!$B$7</f>
        <v>10000</v>
      </c>
      <c r="E25" s="25">
        <f t="shared" si="0"/>
        <v>430000</v>
      </c>
      <c r="F25" s="25">
        <f t="shared" si="1"/>
        <v>60000</v>
      </c>
      <c r="G25" s="25">
        <f>F25*Inputs!$B$8</f>
        <v>84000</v>
      </c>
      <c r="H25" s="26">
        <f t="shared" si="2"/>
        <v>5.1190476190476186</v>
      </c>
      <c r="I25" s="27" t="str">
        <f>IF(H25&lt;=Economics!$B$21,"Yes","No")</f>
        <v>No</v>
      </c>
    </row>
    <row r="26" spans="1:9" ht="15" customHeight="1" x14ac:dyDescent="0.4">
      <c r="A26" s="28" t="s">
        <v>310</v>
      </c>
      <c r="B26" s="29">
        <f>AVERAGE(B6:B25)</f>
        <v>30.55</v>
      </c>
      <c r="C26" s="29">
        <f>AVERAGE(C6:C25)</f>
        <v>7.875</v>
      </c>
      <c r="D26" s="30">
        <f>SUM(D6:D25)</f>
        <v>200000</v>
      </c>
      <c r="E26" s="30">
        <f>SUM(E6:E25)</f>
        <v>6110000</v>
      </c>
      <c r="F26" s="30">
        <f>SUM(F6:F25)</f>
        <v>1575000</v>
      </c>
      <c r="G26" s="30">
        <f>SUM(G6:G25)</f>
        <v>2205000</v>
      </c>
      <c r="H26" s="31">
        <f t="shared" si="2"/>
        <v>2.7709750566893425</v>
      </c>
      <c r="I26" s="32" t="str">
        <f>COUNTIF(I6:I25,"Yes")&amp;" of "&amp;COUNTA(A6:A25)&amp;" blocks"</f>
        <v>16 of 20 blocks</v>
      </c>
    </row>
    <row r="27" spans="1:9" ht="15" customHeight="1" x14ac:dyDescent="0.4">
      <c r="A27" s="33" t="s">
        <v>311</v>
      </c>
      <c r="B27" s="8"/>
      <c r="C27" s="8"/>
      <c r="D27" s="8"/>
      <c r="E27" s="8"/>
      <c r="F27" s="8"/>
      <c r="G27" s="8"/>
      <c r="H27" s="8"/>
      <c r="I27" s="8"/>
    </row>
    <row r="28" spans="1:9" ht="15" customHeight="1" x14ac:dyDescent="0.4">
      <c r="A28" s="11" t="s">
        <v>312</v>
      </c>
      <c r="B28" s="12"/>
      <c r="C28" s="12"/>
      <c r="D28" s="12"/>
      <c r="E28" s="12"/>
      <c r="F28" s="12"/>
      <c r="G28" s="12"/>
      <c r="H28" s="12"/>
      <c r="I28" s="12"/>
    </row>
    <row r="29" spans="1:9" ht="15" customHeight="1" x14ac:dyDescent="0.4">
      <c r="A29" s="13" t="s">
        <v>313</v>
      </c>
      <c r="B29" s="25">
        <f>G26</f>
        <v>2205000</v>
      </c>
      <c r="C29" s="15" t="s">
        <v>89</v>
      </c>
      <c r="D29" s="2" t="s">
        <v>314</v>
      </c>
      <c r="E29" s="2"/>
      <c r="F29" s="2"/>
      <c r="G29" s="2"/>
      <c r="H29" s="2"/>
      <c r="I29" s="2"/>
    </row>
    <row r="30" spans="1:9" ht="15" customHeight="1" x14ac:dyDescent="0.4">
      <c r="A30" s="13" t="s">
        <v>315</v>
      </c>
      <c r="B30" s="25">
        <f>B29*Inputs!$B$10</f>
        <v>2028600</v>
      </c>
      <c r="C30" s="15" t="s">
        <v>89</v>
      </c>
      <c r="D30" s="2" t="s">
        <v>316</v>
      </c>
      <c r="E30" s="2"/>
      <c r="F30" s="2"/>
      <c r="G30" s="2"/>
      <c r="H30" s="2"/>
      <c r="I30" s="2"/>
    </row>
    <row r="31" spans="1:9" ht="15" customHeight="1" x14ac:dyDescent="0.4">
      <c r="A31" s="13" t="s">
        <v>317</v>
      </c>
      <c r="B31" s="26">
        <f>H26</f>
        <v>2.7709750566893425</v>
      </c>
      <c r="C31" s="15" t="s">
        <v>318</v>
      </c>
      <c r="D31" s="2" t="s">
        <v>319</v>
      </c>
      <c r="E31" s="2"/>
      <c r="F31" s="2"/>
      <c r="G31" s="2"/>
      <c r="H31" s="2"/>
      <c r="I31" s="2"/>
    </row>
    <row r="32" spans="1:9" ht="15" customHeight="1" x14ac:dyDescent="0.4">
      <c r="A32" s="13" t="s">
        <v>320</v>
      </c>
      <c r="B32" s="34">
        <f>B30/Inputs!$B$11</f>
        <v>4.0571999999999999</v>
      </c>
      <c r="C32" s="15" t="s">
        <v>196</v>
      </c>
      <c r="D32" s="2" t="s">
        <v>321</v>
      </c>
      <c r="E32" s="2"/>
      <c r="F32" s="2"/>
      <c r="G32" s="2"/>
      <c r="H32" s="2"/>
      <c r="I32" s="2"/>
    </row>
    <row r="33" spans="1:9" ht="15" customHeight="1" x14ac:dyDescent="0.4">
      <c r="A33" s="11" t="s">
        <v>322</v>
      </c>
      <c r="B33" s="12"/>
      <c r="C33" s="12"/>
      <c r="D33" s="12"/>
      <c r="E33" s="12"/>
      <c r="F33" s="12"/>
      <c r="G33" s="12"/>
      <c r="H33" s="12"/>
      <c r="I33" s="12"/>
    </row>
    <row r="34" spans="1:9" ht="15" customHeight="1" x14ac:dyDescent="0.4">
      <c r="A34" s="33" t="s">
        <v>323</v>
      </c>
      <c r="B34" s="8"/>
      <c r="C34" s="8"/>
      <c r="D34" s="8"/>
      <c r="E34" s="8"/>
      <c r="F34" s="8"/>
      <c r="G34" s="8"/>
      <c r="H34" s="8"/>
      <c r="I34" s="8"/>
    </row>
    <row r="35" spans="1:9" ht="15" customHeight="1" x14ac:dyDescent="0.4">
      <c r="A35" s="13" t="s">
        <v>324</v>
      </c>
      <c r="B35" s="35">
        <f>COUNTIF(I6:I25,"Yes")</f>
        <v>16</v>
      </c>
      <c r="C35" s="15" t="s">
        <v>325</v>
      </c>
      <c r="D35" s="2" t="s">
        <v>326</v>
      </c>
      <c r="E35" s="2"/>
      <c r="F35" s="2"/>
      <c r="G35" s="2"/>
      <c r="H35" s="2"/>
      <c r="I35" s="2"/>
    </row>
    <row r="36" spans="1:9" ht="15" customHeight="1" x14ac:dyDescent="0.4">
      <c r="A36" s="13" t="s">
        <v>327</v>
      </c>
      <c r="B36" s="25">
        <f>SUMIF(I6:I25,"Yes",G6:G25)</f>
        <v>1841000</v>
      </c>
      <c r="C36" s="15" t="s">
        <v>89</v>
      </c>
      <c r="D36" s="2" t="s">
        <v>328</v>
      </c>
      <c r="E36" s="2"/>
      <c r="F36" s="2"/>
      <c r="G36" s="2"/>
      <c r="H36" s="2"/>
      <c r="I36" s="2"/>
    </row>
    <row r="37" spans="1:9" ht="15" customHeight="1" x14ac:dyDescent="0.4">
      <c r="A37" s="13" t="s">
        <v>329</v>
      </c>
      <c r="B37" s="25">
        <f>SUMIF(I6:I25,"Yes",E6:E25)</f>
        <v>4320000</v>
      </c>
      <c r="C37" s="15" t="s">
        <v>330</v>
      </c>
      <c r="D37" s="2" t="s">
        <v>328</v>
      </c>
      <c r="E37" s="2"/>
      <c r="F37" s="2"/>
      <c r="G37" s="2"/>
      <c r="H37" s="2"/>
      <c r="I37" s="2"/>
    </row>
    <row r="38" spans="1:9" ht="15" customHeight="1" x14ac:dyDescent="0.4">
      <c r="A38" s="36" t="s">
        <v>331</v>
      </c>
      <c r="B38" s="37">
        <f>'Pit design'!$B$37</f>
        <v>2.9310858019828281</v>
      </c>
      <c r="C38" s="15" t="s">
        <v>318</v>
      </c>
      <c r="D38" s="2" t="s">
        <v>332</v>
      </c>
      <c r="E38" s="2"/>
      <c r="F38" s="2"/>
      <c r="G38" s="2"/>
      <c r="H38" s="2"/>
      <c r="I38" s="2"/>
    </row>
    <row r="39" spans="1:9" ht="15" customHeight="1" x14ac:dyDescent="0.4">
      <c r="A39" s="36" t="s">
        <v>333</v>
      </c>
      <c r="B39" s="38">
        <f>B36*Inputs!$B$10</f>
        <v>1693720</v>
      </c>
      <c r="C39" s="15" t="s">
        <v>89</v>
      </c>
      <c r="D39" s="2" t="s">
        <v>334</v>
      </c>
      <c r="E39" s="2"/>
      <c r="F39" s="2"/>
      <c r="G39" s="2"/>
      <c r="H39" s="2"/>
      <c r="I39" s="2"/>
    </row>
    <row r="40" spans="1:9" ht="15" customHeight="1" x14ac:dyDescent="0.4">
      <c r="A40" s="36" t="s">
        <v>335</v>
      </c>
      <c r="B40" s="39">
        <f>B39/Inputs!$B$11</f>
        <v>3.3874399999999998</v>
      </c>
      <c r="C40" s="15" t="s">
        <v>196</v>
      </c>
      <c r="D40" s="2" t="s">
        <v>321</v>
      </c>
      <c r="E40" s="2"/>
      <c r="F40" s="2"/>
      <c r="G40" s="2"/>
      <c r="H40" s="2"/>
      <c r="I40" s="2"/>
    </row>
  </sheetData>
  <mergeCells count="10">
    <mergeCell ref="D36:I36"/>
    <mergeCell ref="D37:I37"/>
    <mergeCell ref="D38:I38"/>
    <mergeCell ref="D39:I39"/>
    <mergeCell ref="D40:I40"/>
    <mergeCell ref="D29:I29"/>
    <mergeCell ref="D30:I30"/>
    <mergeCell ref="D31:I31"/>
    <mergeCell ref="D32:I32"/>
    <mergeCell ref="D35:I35"/>
  </mergeCells>
  <conditionalFormatting sqref="I6:I25">
    <cfRule type="cellIs" dxfId="1" priority="2" operator="equal">
      <formula>"Yes"</formula>
    </cfRule>
    <cfRule type="cellIs" dxfId="0" priority="3" operator="equal">
      <formula>"No"</formula>
    </cfRule>
  </conditionalFormatting>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168"/>
  <sheetViews>
    <sheetView showGridLines="0" zoomScaleNormal="100" workbookViewId="0"/>
  </sheetViews>
  <sheetFormatPr defaultColWidth="8.69140625" defaultRowHeight="14.6" x14ac:dyDescent="0.4"/>
  <cols>
    <col min="1" max="1" width="44" customWidth="1"/>
    <col min="2" max="11" width="14" customWidth="1"/>
    <col min="22" max="22" width="14" customWidth="1"/>
    <col min="23" max="23" width="4" customWidth="1"/>
    <col min="24" max="24" width="16" customWidth="1"/>
    <col min="25" max="25" width="18" customWidth="1"/>
  </cols>
  <sheetData>
    <row r="1" spans="1:9" ht="17.25" customHeight="1" x14ac:dyDescent="0.4">
      <c r="A1" s="7" t="s">
        <v>336</v>
      </c>
    </row>
    <row r="2" spans="1:9" x14ac:dyDescent="0.4">
      <c r="A2" s="9" t="s">
        <v>337</v>
      </c>
    </row>
    <row r="4" spans="1:9" x14ac:dyDescent="0.4">
      <c r="A4" s="40" t="s">
        <v>338</v>
      </c>
      <c r="B4" s="40"/>
      <c r="C4" s="40"/>
      <c r="D4" s="40"/>
      <c r="E4" s="40"/>
      <c r="F4" s="40"/>
      <c r="G4" s="40"/>
      <c r="H4" s="40"/>
      <c r="I4" s="40"/>
    </row>
    <row r="5" spans="1:9" ht="42" customHeight="1" x14ac:dyDescent="0.4">
      <c r="A5" s="10" t="s">
        <v>281</v>
      </c>
      <c r="B5" s="10" t="s">
        <v>339</v>
      </c>
      <c r="C5" s="10" t="s">
        <v>340</v>
      </c>
      <c r="D5" s="10" t="s">
        <v>283</v>
      </c>
      <c r="E5" s="10" t="s">
        <v>282</v>
      </c>
      <c r="F5" s="10" t="s">
        <v>341</v>
      </c>
      <c r="G5" s="10" t="s">
        <v>342</v>
      </c>
      <c r="H5" s="10" t="s">
        <v>343</v>
      </c>
      <c r="I5" s="10" t="s">
        <v>344</v>
      </c>
    </row>
    <row r="6" spans="1:9" ht="13.5" customHeight="1" x14ac:dyDescent="0.4">
      <c r="A6" s="41" t="str">
        <f>Reserve!A6</f>
        <v>A1</v>
      </c>
      <c r="B6" s="42">
        <f>(VALUE(MID(A6,2,9))-0.5)*Inputs!$B$6</f>
        <v>50</v>
      </c>
      <c r="C6" s="42">
        <f>(CODE(UPPER(LEFT(A6,1)))-65+0.5)*Inputs!$B$7</f>
        <v>50</v>
      </c>
      <c r="D6" s="43">
        <f>Reserve!C6</f>
        <v>8.5</v>
      </c>
      <c r="E6" s="44">
        <f>Reserve!B6</f>
        <v>18</v>
      </c>
      <c r="F6" s="45">
        <f>IF(Inputs!$B$50=1,$B$29+$C$29*B6+$D$29*C6,0)</f>
        <v>8.9349999999999987</v>
      </c>
      <c r="G6" s="45">
        <f t="shared" ref="G6:G25" si="0">D6-F6</f>
        <v>-0.43499999999999872</v>
      </c>
      <c r="H6" s="46">
        <f>IF(Inputs!$B$50=1,$B$30+$C$30*B6+$D$30*C6,0)</f>
        <v>18.200000000000006</v>
      </c>
      <c r="I6" s="46">
        <f t="shared" ref="I6:I25" si="1">E6-H6</f>
        <v>-0.20000000000000639</v>
      </c>
    </row>
    <row r="7" spans="1:9" ht="13.5" customHeight="1" x14ac:dyDescent="0.4">
      <c r="A7" s="41" t="str">
        <f>Reserve!A7</f>
        <v>A2</v>
      </c>
      <c r="B7" s="42">
        <f>(VALUE(MID(A7,2,9))-0.5)*Inputs!$B$6</f>
        <v>150</v>
      </c>
      <c r="C7" s="42">
        <f>(CODE(UPPER(LEFT(A7,1)))-65+0.5)*Inputs!$B$7</f>
        <v>50</v>
      </c>
      <c r="D7" s="43">
        <f>Reserve!C7</f>
        <v>8</v>
      </c>
      <c r="E7" s="44">
        <f>Reserve!B7</f>
        <v>23</v>
      </c>
      <c r="F7" s="45">
        <f>IF(Inputs!$B$50=1,$B$29+$C$29*B7+$D$29*C7,0)</f>
        <v>8.322499999999998</v>
      </c>
      <c r="G7" s="45">
        <f t="shared" si="0"/>
        <v>-0.32249999999999801</v>
      </c>
      <c r="H7" s="46">
        <f>IF(Inputs!$B$50=1,$B$30+$C$30*B7+$D$30*C7,0)</f>
        <v>24.750000000000004</v>
      </c>
      <c r="I7" s="46">
        <f t="shared" si="1"/>
        <v>-1.7500000000000036</v>
      </c>
    </row>
    <row r="8" spans="1:9" ht="13.5" customHeight="1" x14ac:dyDescent="0.4">
      <c r="A8" s="41" t="str">
        <f>Reserve!A8</f>
        <v>A3</v>
      </c>
      <c r="B8" s="42">
        <f>(VALUE(MID(A8,2,9))-0.5)*Inputs!$B$6</f>
        <v>250</v>
      </c>
      <c r="C8" s="42">
        <f>(CODE(UPPER(LEFT(A8,1)))-65+0.5)*Inputs!$B$7</f>
        <v>50</v>
      </c>
      <c r="D8" s="43">
        <f>Reserve!C8</f>
        <v>7.5</v>
      </c>
      <c r="E8" s="44">
        <f>Reserve!B8</f>
        <v>29</v>
      </c>
      <c r="F8" s="45">
        <f>IF(Inputs!$B$50=1,$B$29+$C$29*B8+$D$29*C8,0)</f>
        <v>7.7099999999999991</v>
      </c>
      <c r="G8" s="45">
        <f t="shared" si="0"/>
        <v>-0.20999999999999908</v>
      </c>
      <c r="H8" s="46">
        <f>IF(Inputs!$B$50=1,$B$30+$C$30*B8+$D$30*C8,0)</f>
        <v>31.300000000000004</v>
      </c>
      <c r="I8" s="46">
        <f t="shared" si="1"/>
        <v>-2.3000000000000043</v>
      </c>
    </row>
    <row r="9" spans="1:9" ht="13.5" customHeight="1" x14ac:dyDescent="0.4">
      <c r="A9" s="41" t="str">
        <f>Reserve!A9</f>
        <v>A4</v>
      </c>
      <c r="B9" s="42">
        <f>(VALUE(MID(A9,2,9))-0.5)*Inputs!$B$6</f>
        <v>350</v>
      </c>
      <c r="C9" s="42">
        <f>(CODE(UPPER(LEFT(A9,1)))-65+0.5)*Inputs!$B$7</f>
        <v>50</v>
      </c>
      <c r="D9" s="43">
        <f>Reserve!C9</f>
        <v>7</v>
      </c>
      <c r="E9" s="44">
        <f>Reserve!B9</f>
        <v>36</v>
      </c>
      <c r="F9" s="45">
        <f>IF(Inputs!$B$50=1,$B$29+$C$29*B9+$D$29*C9,0)</f>
        <v>7.0974999999999984</v>
      </c>
      <c r="G9" s="45">
        <f t="shared" si="0"/>
        <v>-9.7499999999998366E-2</v>
      </c>
      <c r="H9" s="46">
        <f>IF(Inputs!$B$50=1,$B$30+$C$30*B9+$D$30*C9,0)</f>
        <v>37.85</v>
      </c>
      <c r="I9" s="46">
        <f t="shared" si="1"/>
        <v>-1.8500000000000014</v>
      </c>
    </row>
    <row r="10" spans="1:9" ht="13.5" customHeight="1" x14ac:dyDescent="0.4">
      <c r="A10" s="41" t="str">
        <f>Reserve!A10</f>
        <v>A5</v>
      </c>
      <c r="B10" s="42">
        <f>(VALUE(MID(A10,2,9))-0.5)*Inputs!$B$6</f>
        <v>450</v>
      </c>
      <c r="C10" s="42">
        <f>(CODE(UPPER(LEFT(A10,1)))-65+0.5)*Inputs!$B$7</f>
        <v>50</v>
      </c>
      <c r="D10" s="43">
        <f>Reserve!C10</f>
        <v>6.5</v>
      </c>
      <c r="E10" s="44">
        <f>Reserve!B10</f>
        <v>45</v>
      </c>
      <c r="F10" s="45">
        <f>IF(Inputs!$B$50=1,$B$29+$C$29*B10+$D$29*C10,0)</f>
        <v>6.4849999999999985</v>
      </c>
      <c r="G10" s="45">
        <f t="shared" si="0"/>
        <v>1.5000000000001457E-2</v>
      </c>
      <c r="H10" s="46">
        <f>IF(Inputs!$B$50=1,$B$30+$C$30*B10+$D$30*C10,0)</f>
        <v>44.4</v>
      </c>
      <c r="I10" s="46">
        <f t="shared" si="1"/>
        <v>0.60000000000000142</v>
      </c>
    </row>
    <row r="11" spans="1:9" ht="13.5" customHeight="1" x14ac:dyDescent="0.4">
      <c r="A11" s="41" t="str">
        <f>Reserve!A11</f>
        <v>B1</v>
      </c>
      <c r="B11" s="42">
        <f>(VALUE(MID(A11,2,9))-0.5)*Inputs!$B$6</f>
        <v>50</v>
      </c>
      <c r="C11" s="42">
        <f>(CODE(UPPER(LEFT(A11,1)))-65+0.5)*Inputs!$B$7</f>
        <v>150</v>
      </c>
      <c r="D11" s="43">
        <f>Reserve!C11</f>
        <v>9</v>
      </c>
      <c r="E11" s="44">
        <f>Reserve!B11</f>
        <v>20</v>
      </c>
      <c r="F11" s="45">
        <f>IF(Inputs!$B$50=1,$B$29+$C$29*B11+$D$29*C11,0)</f>
        <v>9.0449999999999999</v>
      </c>
      <c r="G11" s="45">
        <f t="shared" si="0"/>
        <v>-4.4999999999999929E-2</v>
      </c>
      <c r="H11" s="46">
        <f>IF(Inputs!$B$50=1,$B$30+$C$30*B11+$D$30*C11,0)</f>
        <v>17.700000000000006</v>
      </c>
      <c r="I11" s="46">
        <f t="shared" si="1"/>
        <v>2.2999999999999936</v>
      </c>
    </row>
    <row r="12" spans="1:9" ht="13.5" customHeight="1" x14ac:dyDescent="0.4">
      <c r="A12" s="41" t="str">
        <f>Reserve!A12</f>
        <v>B2</v>
      </c>
      <c r="B12" s="42">
        <f>(VALUE(MID(A12,2,9))-0.5)*Inputs!$B$6</f>
        <v>150</v>
      </c>
      <c r="C12" s="42">
        <f>(CODE(UPPER(LEFT(A12,1)))-65+0.5)*Inputs!$B$7</f>
        <v>150</v>
      </c>
      <c r="D12" s="43">
        <f>Reserve!C12</f>
        <v>8.5</v>
      </c>
      <c r="E12" s="44">
        <f>Reserve!B12</f>
        <v>25</v>
      </c>
      <c r="F12" s="45">
        <f>IF(Inputs!$B$50=1,$B$29+$C$29*B12+$D$29*C12,0)</f>
        <v>8.4324999999999992</v>
      </c>
      <c r="G12" s="45">
        <f t="shared" si="0"/>
        <v>6.7500000000000782E-2</v>
      </c>
      <c r="H12" s="46">
        <f>IF(Inputs!$B$50=1,$B$30+$C$30*B12+$D$30*C12,0)</f>
        <v>24.250000000000004</v>
      </c>
      <c r="I12" s="46">
        <f t="shared" si="1"/>
        <v>0.74999999999999645</v>
      </c>
    </row>
    <row r="13" spans="1:9" ht="13.5" customHeight="1" x14ac:dyDescent="0.4">
      <c r="A13" s="41" t="str">
        <f>Reserve!A13</f>
        <v>B3</v>
      </c>
      <c r="B13" s="42">
        <f>(VALUE(MID(A13,2,9))-0.5)*Inputs!$B$6</f>
        <v>250</v>
      </c>
      <c r="C13" s="42">
        <f>(CODE(UPPER(LEFT(A13,1)))-65+0.5)*Inputs!$B$7</f>
        <v>150</v>
      </c>
      <c r="D13" s="43">
        <f>Reserve!C13</f>
        <v>8</v>
      </c>
      <c r="E13" s="44">
        <f>Reserve!B13</f>
        <v>31</v>
      </c>
      <c r="F13" s="45">
        <f>IF(Inputs!$B$50=1,$B$29+$C$29*B13+$D$29*C13,0)</f>
        <v>7.8199999999999994</v>
      </c>
      <c r="G13" s="45">
        <f t="shared" si="0"/>
        <v>0.1800000000000006</v>
      </c>
      <c r="H13" s="46">
        <f>IF(Inputs!$B$50=1,$B$30+$C$30*B13+$D$30*C13,0)</f>
        <v>30.800000000000004</v>
      </c>
      <c r="I13" s="46">
        <f t="shared" si="1"/>
        <v>0.19999999999999574</v>
      </c>
    </row>
    <row r="14" spans="1:9" ht="13.5" customHeight="1" x14ac:dyDescent="0.4">
      <c r="A14" s="41" t="str">
        <f>Reserve!A14</f>
        <v>B4</v>
      </c>
      <c r="B14" s="42">
        <f>(VALUE(MID(A14,2,9))-0.5)*Inputs!$B$6</f>
        <v>350</v>
      </c>
      <c r="C14" s="42">
        <f>(CODE(UPPER(LEFT(A14,1)))-65+0.5)*Inputs!$B$7</f>
        <v>150</v>
      </c>
      <c r="D14" s="43">
        <f>Reserve!C14</f>
        <v>7.5</v>
      </c>
      <c r="E14" s="44">
        <f>Reserve!B14</f>
        <v>38</v>
      </c>
      <c r="F14" s="45">
        <f>IF(Inputs!$B$50=1,$B$29+$C$29*B14+$D$29*C14,0)</f>
        <v>7.2074999999999987</v>
      </c>
      <c r="G14" s="45">
        <f t="shared" si="0"/>
        <v>0.29250000000000131</v>
      </c>
      <c r="H14" s="46">
        <f>IF(Inputs!$B$50=1,$B$30+$C$30*B14+$D$30*C14,0)</f>
        <v>37.35</v>
      </c>
      <c r="I14" s="46">
        <f t="shared" si="1"/>
        <v>0.64999999999999858</v>
      </c>
    </row>
    <row r="15" spans="1:9" ht="13.5" customHeight="1" x14ac:dyDescent="0.4">
      <c r="A15" s="41" t="str">
        <f>Reserve!A15</f>
        <v>B5</v>
      </c>
      <c r="B15" s="42">
        <f>(VALUE(MID(A15,2,9))-0.5)*Inputs!$B$6</f>
        <v>450</v>
      </c>
      <c r="C15" s="42">
        <f>(CODE(UPPER(LEFT(A15,1)))-65+0.5)*Inputs!$B$7</f>
        <v>150</v>
      </c>
      <c r="D15" s="43">
        <f>Reserve!C15</f>
        <v>6.5</v>
      </c>
      <c r="E15" s="44">
        <f>Reserve!B15</f>
        <v>47</v>
      </c>
      <c r="F15" s="45">
        <f>IF(Inputs!$B$50=1,$B$29+$C$29*B15+$D$29*C15,0)</f>
        <v>6.5949999999999989</v>
      </c>
      <c r="G15" s="45">
        <f t="shared" si="0"/>
        <v>-9.4999999999998863E-2</v>
      </c>
      <c r="H15" s="46">
        <f>IF(Inputs!$B$50=1,$B$30+$C$30*B15+$D$30*C15,0)</f>
        <v>43.9</v>
      </c>
      <c r="I15" s="46">
        <f t="shared" si="1"/>
        <v>3.1000000000000014</v>
      </c>
    </row>
    <row r="16" spans="1:9" ht="13.5" customHeight="1" x14ac:dyDescent="0.4">
      <c r="A16" s="41" t="str">
        <f>Reserve!A16</f>
        <v>C1</v>
      </c>
      <c r="B16" s="42">
        <f>(VALUE(MID(A16,2,9))-0.5)*Inputs!$B$6</f>
        <v>50</v>
      </c>
      <c r="C16" s="42">
        <f>(CODE(UPPER(LEFT(A16,1)))-65+0.5)*Inputs!$B$7</f>
        <v>250</v>
      </c>
      <c r="D16" s="43">
        <f>Reserve!C16</f>
        <v>9.5</v>
      </c>
      <c r="E16" s="44">
        <f>Reserve!B16</f>
        <v>19</v>
      </c>
      <c r="F16" s="45">
        <f>IF(Inputs!$B$50=1,$B$29+$C$29*B16+$D$29*C16,0)</f>
        <v>9.1549999999999994</v>
      </c>
      <c r="G16" s="45">
        <f t="shared" si="0"/>
        <v>0.34500000000000064</v>
      </c>
      <c r="H16" s="46">
        <f>IF(Inputs!$B$50=1,$B$30+$C$30*B16+$D$30*C16,0)</f>
        <v>17.200000000000003</v>
      </c>
      <c r="I16" s="46">
        <f t="shared" si="1"/>
        <v>1.7999999999999972</v>
      </c>
    </row>
    <row r="17" spans="1:9" ht="13.5" customHeight="1" x14ac:dyDescent="0.4">
      <c r="A17" s="41" t="str">
        <f>Reserve!A17</f>
        <v>C2</v>
      </c>
      <c r="B17" s="42">
        <f>(VALUE(MID(A17,2,9))-0.5)*Inputs!$B$6</f>
        <v>150</v>
      </c>
      <c r="C17" s="42">
        <f>(CODE(UPPER(LEFT(A17,1)))-65+0.5)*Inputs!$B$7</f>
        <v>250</v>
      </c>
      <c r="D17" s="43">
        <f>Reserve!C17</f>
        <v>9</v>
      </c>
      <c r="E17" s="44">
        <f>Reserve!B17</f>
        <v>24</v>
      </c>
      <c r="F17" s="45">
        <f>IF(Inputs!$B$50=1,$B$29+$C$29*B17+$D$29*C17,0)</f>
        <v>8.5424999999999986</v>
      </c>
      <c r="G17" s="45">
        <f t="shared" si="0"/>
        <v>0.45750000000000135</v>
      </c>
      <c r="H17" s="46">
        <f>IF(Inputs!$B$50=1,$B$30+$C$30*B17+$D$30*C17,0)</f>
        <v>23.75</v>
      </c>
      <c r="I17" s="46">
        <f t="shared" si="1"/>
        <v>0.25</v>
      </c>
    </row>
    <row r="18" spans="1:9" ht="13.5" customHeight="1" x14ac:dyDescent="0.4">
      <c r="A18" s="41" t="str">
        <f>Reserve!A18</f>
        <v>C3</v>
      </c>
      <c r="B18" s="42">
        <f>(VALUE(MID(A18,2,9))-0.5)*Inputs!$B$6</f>
        <v>250</v>
      </c>
      <c r="C18" s="42">
        <f>(CODE(UPPER(LEFT(A18,1)))-65+0.5)*Inputs!$B$7</f>
        <v>250</v>
      </c>
      <c r="D18" s="43">
        <f>Reserve!C18</f>
        <v>8.5</v>
      </c>
      <c r="E18" s="44">
        <f>Reserve!B18</f>
        <v>30</v>
      </c>
      <c r="F18" s="45">
        <f>IF(Inputs!$B$50=1,$B$29+$C$29*B18+$D$29*C18,0)</f>
        <v>7.93</v>
      </c>
      <c r="G18" s="45">
        <f t="shared" si="0"/>
        <v>0.57000000000000028</v>
      </c>
      <c r="H18" s="46">
        <f>IF(Inputs!$B$50=1,$B$30+$C$30*B18+$D$30*C18,0)</f>
        <v>30.3</v>
      </c>
      <c r="I18" s="46">
        <f t="shared" si="1"/>
        <v>-0.30000000000000071</v>
      </c>
    </row>
    <row r="19" spans="1:9" ht="13.5" customHeight="1" x14ac:dyDescent="0.4">
      <c r="A19" s="41" t="str">
        <f>Reserve!A19</f>
        <v>C4</v>
      </c>
      <c r="B19" s="42">
        <f>(VALUE(MID(A19,2,9))-0.5)*Inputs!$B$6</f>
        <v>350</v>
      </c>
      <c r="C19" s="42">
        <f>(CODE(UPPER(LEFT(A19,1)))-65+0.5)*Inputs!$B$7</f>
        <v>250</v>
      </c>
      <c r="D19" s="43">
        <f>Reserve!C19</f>
        <v>8</v>
      </c>
      <c r="E19" s="44">
        <f>Reserve!B19</f>
        <v>37</v>
      </c>
      <c r="F19" s="45">
        <f>IF(Inputs!$B$50=1,$B$29+$C$29*B19+$D$29*C19,0)</f>
        <v>7.317499999999999</v>
      </c>
      <c r="G19" s="45">
        <f t="shared" si="0"/>
        <v>0.68250000000000099</v>
      </c>
      <c r="H19" s="46">
        <f>IF(Inputs!$B$50=1,$B$30+$C$30*B19+$D$30*C19,0)</f>
        <v>36.85</v>
      </c>
      <c r="I19" s="46">
        <f t="shared" si="1"/>
        <v>0.14999999999999858</v>
      </c>
    </row>
    <row r="20" spans="1:9" ht="13.5" customHeight="1" x14ac:dyDescent="0.4">
      <c r="A20" s="41" t="str">
        <f>Reserve!A20</f>
        <v>C5</v>
      </c>
      <c r="B20" s="42">
        <f>(VALUE(MID(A20,2,9))-0.5)*Inputs!$B$6</f>
        <v>450</v>
      </c>
      <c r="C20" s="42">
        <f>(CODE(UPPER(LEFT(A20,1)))-65+0.5)*Inputs!$B$7</f>
        <v>250</v>
      </c>
      <c r="D20" s="43">
        <f>Reserve!C20</f>
        <v>7</v>
      </c>
      <c r="E20" s="44">
        <f>Reserve!B20</f>
        <v>44</v>
      </c>
      <c r="F20" s="45">
        <f>IF(Inputs!$B$50=1,$B$29+$C$29*B20+$D$29*C20,0)</f>
        <v>6.7049999999999992</v>
      </c>
      <c r="G20" s="45">
        <f t="shared" si="0"/>
        <v>0.29500000000000082</v>
      </c>
      <c r="H20" s="46">
        <f>IF(Inputs!$B$50=1,$B$30+$C$30*B20+$D$30*C20,0)</f>
        <v>43.4</v>
      </c>
      <c r="I20" s="46">
        <f t="shared" si="1"/>
        <v>0.60000000000000142</v>
      </c>
    </row>
    <row r="21" spans="1:9" ht="13.5" customHeight="1" x14ac:dyDescent="0.4">
      <c r="A21" s="41" t="str">
        <f>Reserve!A21</f>
        <v>D1</v>
      </c>
      <c r="B21" s="42">
        <f>(VALUE(MID(A21,2,9))-0.5)*Inputs!$B$6</f>
        <v>50</v>
      </c>
      <c r="C21" s="42">
        <f>(CODE(UPPER(LEFT(A21,1)))-65+0.5)*Inputs!$B$7</f>
        <v>350</v>
      </c>
      <c r="D21" s="43">
        <f>Reserve!C21</f>
        <v>9</v>
      </c>
      <c r="E21" s="44">
        <f>Reserve!B21</f>
        <v>17</v>
      </c>
      <c r="F21" s="45">
        <f>IF(Inputs!$B$50=1,$B$29+$C$29*B21+$D$29*C21,0)</f>
        <v>9.2649999999999988</v>
      </c>
      <c r="G21" s="45">
        <f t="shared" si="0"/>
        <v>-0.26499999999999879</v>
      </c>
      <c r="H21" s="46">
        <f>IF(Inputs!$B$50=1,$B$30+$C$30*B21+$D$30*C21,0)</f>
        <v>16.700000000000003</v>
      </c>
      <c r="I21" s="46">
        <f t="shared" si="1"/>
        <v>0.29999999999999716</v>
      </c>
    </row>
    <row r="22" spans="1:9" ht="13.5" customHeight="1" x14ac:dyDescent="0.4">
      <c r="A22" s="41" t="str">
        <f>Reserve!A22</f>
        <v>D2</v>
      </c>
      <c r="B22" s="42">
        <f>(VALUE(MID(A22,2,9))-0.5)*Inputs!$B$6</f>
        <v>150</v>
      </c>
      <c r="C22" s="42">
        <f>(CODE(UPPER(LEFT(A22,1)))-65+0.5)*Inputs!$B$7</f>
        <v>350</v>
      </c>
      <c r="D22" s="43">
        <f>Reserve!C22</f>
        <v>8.5</v>
      </c>
      <c r="E22" s="44">
        <f>Reserve!B22</f>
        <v>22</v>
      </c>
      <c r="F22" s="45">
        <f>IF(Inputs!$B$50=1,$B$29+$C$29*B22+$D$29*C22,0)</f>
        <v>8.6524999999999981</v>
      </c>
      <c r="G22" s="45">
        <f t="shared" si="0"/>
        <v>-0.15249999999999808</v>
      </c>
      <c r="H22" s="46">
        <f>IF(Inputs!$B$50=1,$B$30+$C$30*B22+$D$30*C22,0)</f>
        <v>23.25</v>
      </c>
      <c r="I22" s="46">
        <f t="shared" si="1"/>
        <v>-1.25</v>
      </c>
    </row>
    <row r="23" spans="1:9" ht="13.5" customHeight="1" x14ac:dyDescent="0.4">
      <c r="A23" s="41" t="str">
        <f>Reserve!A23</f>
        <v>D3</v>
      </c>
      <c r="B23" s="42">
        <f>(VALUE(MID(A23,2,9))-0.5)*Inputs!$B$6</f>
        <v>250</v>
      </c>
      <c r="C23" s="42">
        <f>(CODE(UPPER(LEFT(A23,1)))-65+0.5)*Inputs!$B$7</f>
        <v>350</v>
      </c>
      <c r="D23" s="43">
        <f>Reserve!C23</f>
        <v>8</v>
      </c>
      <c r="E23" s="44">
        <f>Reserve!B23</f>
        <v>28</v>
      </c>
      <c r="F23" s="45">
        <f>IF(Inputs!$B$50=1,$B$29+$C$29*B23+$D$29*C23,0)</f>
        <v>8.0399999999999991</v>
      </c>
      <c r="G23" s="45">
        <f t="shared" si="0"/>
        <v>-3.9999999999999147E-2</v>
      </c>
      <c r="H23" s="46">
        <f>IF(Inputs!$B$50=1,$B$30+$C$30*B23+$D$30*C23,0)</f>
        <v>29.8</v>
      </c>
      <c r="I23" s="46">
        <f t="shared" si="1"/>
        <v>-1.8000000000000007</v>
      </c>
    </row>
    <row r="24" spans="1:9" ht="13.5" customHeight="1" x14ac:dyDescent="0.4">
      <c r="A24" s="41" t="str">
        <f>Reserve!A24</f>
        <v>D4</v>
      </c>
      <c r="B24" s="42">
        <f>(VALUE(MID(A24,2,9))-0.5)*Inputs!$B$6</f>
        <v>350</v>
      </c>
      <c r="C24" s="42">
        <f>(CODE(UPPER(LEFT(A24,1)))-65+0.5)*Inputs!$B$7</f>
        <v>350</v>
      </c>
      <c r="D24" s="43">
        <f>Reserve!C24</f>
        <v>7</v>
      </c>
      <c r="E24" s="44">
        <f>Reserve!B24</f>
        <v>35</v>
      </c>
      <c r="F24" s="45">
        <f>IF(Inputs!$B$50=1,$B$29+$C$29*B24+$D$29*C24,0)</f>
        <v>7.4274999999999984</v>
      </c>
      <c r="G24" s="45">
        <f t="shared" si="0"/>
        <v>-0.42749999999999844</v>
      </c>
      <c r="H24" s="46">
        <f>IF(Inputs!$B$50=1,$B$30+$C$30*B24+$D$30*C24,0)</f>
        <v>36.35</v>
      </c>
      <c r="I24" s="46">
        <f t="shared" si="1"/>
        <v>-1.3500000000000014</v>
      </c>
    </row>
    <row r="25" spans="1:9" ht="13.5" customHeight="1" x14ac:dyDescent="0.4">
      <c r="A25" s="41" t="str">
        <f>Reserve!A25</f>
        <v>D5</v>
      </c>
      <c r="B25" s="42">
        <f>(VALUE(MID(A25,2,9))-0.5)*Inputs!$B$6</f>
        <v>450</v>
      </c>
      <c r="C25" s="42">
        <f>(CODE(UPPER(LEFT(A25,1)))-65+0.5)*Inputs!$B$7</f>
        <v>350</v>
      </c>
      <c r="D25" s="43">
        <f>Reserve!C25</f>
        <v>6</v>
      </c>
      <c r="E25" s="44">
        <f>Reserve!B25</f>
        <v>43</v>
      </c>
      <c r="F25" s="45">
        <f>IF(Inputs!$B$50=1,$B$29+$C$29*B25+$D$29*C25,0)</f>
        <v>6.8149999999999986</v>
      </c>
      <c r="G25" s="45">
        <f t="shared" si="0"/>
        <v>-0.81499999999999861</v>
      </c>
      <c r="H25" s="46">
        <f>IF(Inputs!$B$50=1,$B$30+$C$30*B25+$D$30*C25,0)</f>
        <v>42.9</v>
      </c>
      <c r="I25" s="46">
        <f t="shared" si="1"/>
        <v>0.10000000000000142</v>
      </c>
    </row>
    <row r="27" spans="1:9" x14ac:dyDescent="0.4">
      <c r="A27" s="40" t="s">
        <v>345</v>
      </c>
      <c r="B27" s="40"/>
      <c r="C27" s="40"/>
      <c r="D27" s="40"/>
      <c r="E27" s="40"/>
      <c r="F27" s="40"/>
      <c r="G27" s="40"/>
      <c r="H27" s="40"/>
      <c r="I27" s="40"/>
    </row>
    <row r="28" spans="1:9" ht="30" customHeight="1" x14ac:dyDescent="0.4">
      <c r="A28" s="10" t="s">
        <v>346</v>
      </c>
      <c r="B28" s="10" t="s">
        <v>347</v>
      </c>
      <c r="C28" s="10" t="s">
        <v>348</v>
      </c>
      <c r="D28" s="10" t="s">
        <v>349</v>
      </c>
      <c r="E28" s="10" t="s">
        <v>350</v>
      </c>
    </row>
    <row r="29" spans="1:9" x14ac:dyDescent="0.4">
      <c r="A29" s="47" t="s">
        <v>351</v>
      </c>
      <c r="B29" s="48">
        <f>INDEX(LINEST($D$6:$D$25,$B$6:$C$25,TRUE(),TRUE()),1,3)</f>
        <v>9.1862499999999994</v>
      </c>
      <c r="C29" s="49">
        <f>INDEX(LINEST($D$6:$D$25,$B$6:$C$25,TRUE(),TRUE()),1,2)</f>
        <v>-6.1250000000000011E-3</v>
      </c>
      <c r="D29" s="49">
        <f>INDEX(LINEST($D$6:$D$25,$B$6:$C$25,TRUE(),TRUE()),1,1)</f>
        <v>1.1000000000000005E-3</v>
      </c>
      <c r="E29" s="45">
        <f>INDEX(LINEST($D$6:$D$25,$B$6:$C$25,TRUE(),TRUE()),3,1)</f>
        <v>0.85344947735191634</v>
      </c>
    </row>
    <row r="30" spans="1:9" x14ac:dyDescent="0.4">
      <c r="A30" s="47" t="s">
        <v>352</v>
      </c>
      <c r="B30" s="48">
        <f>INDEX(LINEST($E$6:$E$25,$B$6:$C$25,TRUE(),TRUE()),1,3)</f>
        <v>15.175000000000006</v>
      </c>
      <c r="C30" s="49">
        <f>INDEX(LINEST($E$6:$E$25,$B$6:$C$25,TRUE(),TRUE()),1,2)</f>
        <v>6.5499999999999989E-2</v>
      </c>
      <c r="D30" s="49">
        <f>INDEX(LINEST($E$6:$E$25,$B$6:$C$25,TRUE(),TRUE()),1,1)</f>
        <v>-5.0000000000000079E-3</v>
      </c>
      <c r="E30" s="45">
        <f>INDEX(LINEST($E$6:$E$25,$B$6:$C$25,TRUE(),TRUE()),3,1)</f>
        <v>0.97808001362900709</v>
      </c>
    </row>
    <row r="32" spans="1:9" x14ac:dyDescent="0.4">
      <c r="A32" s="40" t="s">
        <v>353</v>
      </c>
      <c r="B32" s="40"/>
      <c r="C32" s="40"/>
      <c r="D32" s="40"/>
      <c r="E32" s="40"/>
      <c r="F32" s="40"/>
      <c r="G32" s="40"/>
      <c r="H32" s="40"/>
      <c r="I32" s="40"/>
    </row>
    <row r="33" spans="1:10" ht="30" customHeight="1" x14ac:dyDescent="0.4">
      <c r="A33" s="10" t="s">
        <v>354</v>
      </c>
      <c r="B33" s="10" t="s">
        <v>355</v>
      </c>
      <c r="C33" s="10" t="s">
        <v>356</v>
      </c>
      <c r="D33" s="10" t="s">
        <v>357</v>
      </c>
      <c r="E33" s="10" t="s">
        <v>358</v>
      </c>
      <c r="F33" s="10" t="s">
        <v>359</v>
      </c>
      <c r="G33" s="10" t="s">
        <v>360</v>
      </c>
      <c r="I33" s="10" t="s">
        <v>361</v>
      </c>
      <c r="J33" s="10" t="s">
        <v>362</v>
      </c>
    </row>
    <row r="34" spans="1:10" x14ac:dyDescent="0.4">
      <c r="A34" s="50">
        <v>1</v>
      </c>
      <c r="B34" s="42">
        <f>A34*Inputs!$B$55</f>
        <v>100</v>
      </c>
      <c r="C34" s="51">
        <f>COUNTIFS($B$102:$U$121,"&gt;="&amp;(B34-Inputs!$B$55/2),$B$102:$U$121,"&lt;"&amp;(B34+Inputs!$B$55/2))/2</f>
        <v>55</v>
      </c>
      <c r="D34" s="52">
        <f>IFERROR(AVERAGEIFS($B$102:$U$121,$B$102:$U$121,"&gt;="&amp;(B34-Inputs!$B$55/2),$B$102:$U$121,"&lt;"&amp;(B34+Inputs!$B$55/2)),0)</f>
        <v>118.07477363082604</v>
      </c>
      <c r="E34" s="48">
        <f>IFERROR(AVERAGEIFS($B$125:$U$144,$B$102:$U$121,"&gt;="&amp;(B34-Inputs!$B$55/2),$B$102:$U$121,"&lt;"&amp;(B34+Inputs!$B$55/2)),0)</f>
        <v>0.12902863636363618</v>
      </c>
      <c r="F34" s="48">
        <f>IF(D34=0,0,CHOOSE(Inputs!$B$51,IF(D34&gt;=Inputs!$B$54,Inputs!$B$52+Inputs!$B$53,Inputs!$B$52+Inputs!$B$53*(1.5*D34/Inputs!$B$54-0.5*(D34/Inputs!$B$54)^3)),Inputs!$B$52+Inputs!$B$53*(1-EXP(-3*D34/Inputs!$B$54)),Inputs!$B$52+Inputs!$B$53*(1-EXP(-3*(D34/Inputs!$B$54)^2))))</f>
        <v>0.13478731742717739</v>
      </c>
      <c r="G34" s="48">
        <f>C34*(E34-F34)^2</f>
        <v>1.8239324175373501E-3</v>
      </c>
      <c r="I34" s="42">
        <v>0</v>
      </c>
      <c r="J34" s="48">
        <f>IF(I34=0,0,CHOOSE(Inputs!$B$51,IF(I34&gt;=Inputs!$B$54,Inputs!$B$52+Inputs!$B$53,Inputs!$B$52+Inputs!$B$53*(1.5*I34/Inputs!$B$54-0.5*(I34/Inputs!$B$54)^3)),Inputs!$B$52+Inputs!$B$53*(1-EXP(-3*I34/Inputs!$B$54)),Inputs!$B$52+Inputs!$B$53*(1-EXP(-3*(I34/Inputs!$B$54)^2))))</f>
        <v>0</v>
      </c>
    </row>
    <row r="35" spans="1:10" x14ac:dyDescent="0.4">
      <c r="A35" s="50">
        <v>2</v>
      </c>
      <c r="B35" s="42">
        <f>A35*Inputs!$B$55</f>
        <v>200</v>
      </c>
      <c r="C35" s="51">
        <f>COUNTIFS($B$102:$U$121,"&gt;="&amp;(B35-Inputs!$B$55/2),$B$102:$U$121,"&lt;"&amp;(B35+Inputs!$B$55/2))/2</f>
        <v>56</v>
      </c>
      <c r="D35" s="52">
        <f>IFERROR(AVERAGEIFS($B$102:$U$121,$B$102:$U$121,"&gt;="&amp;(B35-Inputs!$B$55/2),$B$102:$U$121,"&lt;"&amp;(B35+Inputs!$B$55/2)),0)</f>
        <v>214.33269863391607</v>
      </c>
      <c r="E35" s="48">
        <f>IFERROR(AVERAGEIFS($B$125:$U$144,$B$102:$U$121,"&gt;="&amp;(B35-Inputs!$B$55/2),$B$102:$U$121,"&lt;"&amp;(B35+Inputs!$B$55/2)),0)</f>
        <v>0.15881651785714263</v>
      </c>
      <c r="F35" s="48">
        <f>IF(D35=0,0,CHOOSE(Inputs!$B$51,IF(D35&gt;=Inputs!$B$54,Inputs!$B$52+Inputs!$B$53,Inputs!$B$52+Inputs!$B$53*(1.5*D35/Inputs!$B$54-0.5*(D35/Inputs!$B$54)^3)),Inputs!$B$52+Inputs!$B$53*(1-EXP(-3*D35/Inputs!$B$54)),Inputs!$B$52+Inputs!$B$53*(1-EXP(-3*(D35/Inputs!$B$54)^2))))</f>
        <v>0.15000000000000002</v>
      </c>
      <c r="G35" s="48">
        <f>C35*(E35-F35)^2</f>
        <v>4.3529352790176064E-3</v>
      </c>
      <c r="I35" s="42">
        <v>50</v>
      </c>
      <c r="J35" s="48">
        <f>IF(I35=0,0,CHOOSE(Inputs!$B$51,IF(I35&gt;=Inputs!$B$54,Inputs!$B$52+Inputs!$B$53,Inputs!$B$52+Inputs!$B$53*(1.5*I35/Inputs!$B$54-0.5*(I35/Inputs!$B$54)^3)),Inputs!$B$52+Inputs!$B$53*(1-EXP(-3*I35/Inputs!$B$54)),Inputs!$B$52+Inputs!$B$53*(1-EXP(-3*(I35/Inputs!$B$54)^2))))</f>
        <v>0.10570312500000001</v>
      </c>
    </row>
    <row r="36" spans="1:10" x14ac:dyDescent="0.4">
      <c r="A36" s="50">
        <v>3</v>
      </c>
      <c r="B36" s="42">
        <f>A36*Inputs!$B$55</f>
        <v>300</v>
      </c>
      <c r="C36" s="51">
        <f>COUNTIFS($B$102:$U$121,"&gt;="&amp;(B36-Inputs!$B$55/2),$B$102:$U$121,"&lt;"&amp;(B36+Inputs!$B$55/2))/2</f>
        <v>45</v>
      </c>
      <c r="D36" s="52">
        <f>IFERROR(AVERAGEIFS($B$102:$U$121,$B$102:$U$121,"&gt;="&amp;(B36-Inputs!$B$55/2),$B$102:$U$121,"&lt;"&amp;(B36+Inputs!$B$55/2)),0)</f>
        <v>302.63706377849297</v>
      </c>
      <c r="E36" s="48">
        <f>IFERROR(AVERAGEIFS($B$125:$U$144,$B$102:$U$121,"&gt;="&amp;(B36-Inputs!$B$55/2),$B$102:$U$121,"&lt;"&amp;(B36+Inputs!$B$55/2)),0)</f>
        <v>0.13787305555555546</v>
      </c>
      <c r="F36" s="48">
        <f>IF(D36=0,0,CHOOSE(Inputs!$B$51,IF(D36&gt;=Inputs!$B$54,Inputs!$B$52+Inputs!$B$53,Inputs!$B$52+Inputs!$B$53*(1.5*D36/Inputs!$B$54-0.5*(D36/Inputs!$B$54)^3)),Inputs!$B$52+Inputs!$B$53*(1-EXP(-3*D36/Inputs!$B$54)),Inputs!$B$52+Inputs!$B$53*(1-EXP(-3*(D36/Inputs!$B$54)^2))))</f>
        <v>0.15000000000000002</v>
      </c>
      <c r="G36" s="48">
        <f>C36*(E36-F36)^2</f>
        <v>6.61782517013902E-3</v>
      </c>
      <c r="I36" s="42">
        <v>100</v>
      </c>
      <c r="J36" s="48">
        <f>IF(I36=0,0,CHOOSE(Inputs!$B$51,IF(I36&gt;=Inputs!$B$54,Inputs!$B$52+Inputs!$B$53,Inputs!$B$52+Inputs!$B$53*(1.5*I36/Inputs!$B$54-0.5*(I36/Inputs!$B$54)^3)),Inputs!$B$52+Inputs!$B$53*(1-EXP(-3*I36/Inputs!$B$54)),Inputs!$B$52+Inputs!$B$53*(1-EXP(-3*(I36/Inputs!$B$54)^2))))</f>
        <v>0.12812499999999999</v>
      </c>
    </row>
    <row r="37" spans="1:10" x14ac:dyDescent="0.4">
      <c r="A37" s="50">
        <v>4</v>
      </c>
      <c r="B37" s="42">
        <f>A37*Inputs!$B$55</f>
        <v>400</v>
      </c>
      <c r="C37" s="51">
        <f>COUNTIFS($B$102:$U$121,"&gt;="&amp;(B37-Inputs!$B$55/2),$B$102:$U$121,"&lt;"&amp;(B37+Inputs!$B$55/2))/2</f>
        <v>32</v>
      </c>
      <c r="D37" s="52">
        <f>IFERROR(AVERAGEIFS($B$102:$U$121,$B$102:$U$121,"&gt;="&amp;(B37-Inputs!$B$55/2),$B$102:$U$121,"&lt;"&amp;(B37+Inputs!$B$55/2)),0)</f>
        <v>393.98580680836619</v>
      </c>
      <c r="E37" s="48">
        <f>IFERROR(AVERAGEIFS($B$125:$U$144,$B$102:$U$121,"&gt;="&amp;(B37-Inputs!$B$55/2),$B$102:$U$121,"&lt;"&amp;(B37+Inputs!$B$55/2)),0)</f>
        <v>0.12442226562499982</v>
      </c>
      <c r="F37" s="48">
        <f>IF(D37=0,0,CHOOSE(Inputs!$B$51,IF(D37&gt;=Inputs!$B$54,Inputs!$B$52+Inputs!$B$53,Inputs!$B$52+Inputs!$B$53*(1.5*D37/Inputs!$B$54-0.5*(D37/Inputs!$B$54)^3)),Inputs!$B$52+Inputs!$B$53*(1-EXP(-3*D37/Inputs!$B$54)),Inputs!$B$52+Inputs!$B$53*(1-EXP(-3*(D37/Inputs!$B$54)^2))))</f>
        <v>0.15000000000000002</v>
      </c>
      <c r="G37" s="48">
        <f>C37*(E37-F37)^2</f>
        <v>2.0935055864258145E-2</v>
      </c>
      <c r="I37" s="42">
        <v>150</v>
      </c>
      <c r="J37" s="48">
        <f>IF(I37=0,0,CHOOSE(Inputs!$B$51,IF(I37&gt;=Inputs!$B$54,Inputs!$B$52+Inputs!$B$53,Inputs!$B$52+Inputs!$B$53*(1.5*I37/Inputs!$B$54-0.5*(I37/Inputs!$B$54)^3)),Inputs!$B$52+Inputs!$B$53*(1-EXP(-3*I37/Inputs!$B$54)),Inputs!$B$52+Inputs!$B$53*(1-EXP(-3*(I37/Inputs!$B$54)^2))))</f>
        <v>0.143984375</v>
      </c>
    </row>
    <row r="38" spans="1:10" x14ac:dyDescent="0.4">
      <c r="A38" s="50">
        <v>5</v>
      </c>
      <c r="B38" s="42">
        <f>A38*Inputs!$B$55</f>
        <v>500</v>
      </c>
      <c r="C38" s="51">
        <f>COUNTIFS($B$102:$U$121,"&gt;="&amp;(B38-Inputs!$B$55/2),$B$102:$U$121,"&lt;"&amp;(B38+Inputs!$B$55/2))/2</f>
        <v>2</v>
      </c>
      <c r="D38" s="52">
        <f>IFERROR(AVERAGEIFS($B$102:$U$121,$B$102:$U$121,"&gt;="&amp;(B38-Inputs!$B$55/2),$B$102:$U$121,"&lt;"&amp;(B38+Inputs!$B$55/2)),0)</f>
        <v>500</v>
      </c>
      <c r="E38" s="48">
        <f>IFERROR(AVERAGEIFS($B$125:$U$144,$B$102:$U$121,"&gt;="&amp;(B38-Inputs!$B$55/2),$B$102:$U$121,"&lt;"&amp;(B38+Inputs!$B$55/2)),0)</f>
        <v>5.5700000000000013E-2</v>
      </c>
      <c r="F38" s="48">
        <f>IF(D38=0,0,CHOOSE(Inputs!$B$51,IF(D38&gt;=Inputs!$B$54,Inputs!$B$52+Inputs!$B$53,Inputs!$B$52+Inputs!$B$53*(1.5*D38/Inputs!$B$54-0.5*(D38/Inputs!$B$54)^3)),Inputs!$B$52+Inputs!$B$53*(1-EXP(-3*D38/Inputs!$B$54)),Inputs!$B$52+Inputs!$B$53*(1-EXP(-3*(D38/Inputs!$B$54)^2))))</f>
        <v>0.15000000000000002</v>
      </c>
      <c r="G38" s="48">
        <f>C38*(E38-F38)^2</f>
        <v>1.7784980000000002E-2</v>
      </c>
      <c r="I38" s="42">
        <v>200</v>
      </c>
      <c r="J38" s="48">
        <f>IF(I38=0,0,CHOOSE(Inputs!$B$51,IF(I38&gt;=Inputs!$B$54,Inputs!$B$52+Inputs!$B$53,Inputs!$B$52+Inputs!$B$53*(1.5*I38/Inputs!$B$54-0.5*(I38/Inputs!$B$54)^3)),Inputs!$B$52+Inputs!$B$53*(1-EXP(-3*I38/Inputs!$B$54)),Inputs!$B$52+Inputs!$B$53*(1-EXP(-3*(I38/Inputs!$B$54)^2))))</f>
        <v>0.15000000000000002</v>
      </c>
    </row>
    <row r="39" spans="1:10" x14ac:dyDescent="0.4">
      <c r="A39" s="53" t="s">
        <v>363</v>
      </c>
      <c r="B39" s="54"/>
      <c r="C39" s="55">
        <f>SUM(C34:C38)</f>
        <v>190</v>
      </c>
      <c r="D39" s="54"/>
      <c r="E39" s="54"/>
      <c r="F39" s="54"/>
      <c r="G39" s="56">
        <f>SUM(G34:G38)</f>
        <v>5.1514728730952128E-2</v>
      </c>
      <c r="I39" s="42">
        <v>250</v>
      </c>
      <c r="J39" s="48">
        <f>IF(I39=0,0,CHOOSE(Inputs!$B$51,IF(I39&gt;=Inputs!$B$54,Inputs!$B$52+Inputs!$B$53,Inputs!$B$52+Inputs!$B$53*(1.5*I39/Inputs!$B$54-0.5*(I39/Inputs!$B$54)^3)),Inputs!$B$52+Inputs!$B$53*(1-EXP(-3*I39/Inputs!$B$54)),Inputs!$B$52+Inputs!$B$53*(1-EXP(-3*(I39/Inputs!$B$54)^2))))</f>
        <v>0.15000000000000002</v>
      </c>
    </row>
    <row r="40" spans="1:10" ht="13.5" customHeight="1" x14ac:dyDescent="0.4">
      <c r="A40" s="47" t="s">
        <v>364</v>
      </c>
      <c r="B40" s="48">
        <f>VAR(G6:G25)</f>
        <v>0.13835526315789456</v>
      </c>
      <c r="C40" s="57" t="s">
        <v>161</v>
      </c>
      <c r="D40" s="57" t="s">
        <v>365</v>
      </c>
      <c r="I40" s="42">
        <v>300</v>
      </c>
      <c r="J40" s="48">
        <f>IF(I40=0,0,CHOOSE(Inputs!$B$51,IF(I40&gt;=Inputs!$B$54,Inputs!$B$52+Inputs!$B$53,Inputs!$B$52+Inputs!$B$53*(1.5*I40/Inputs!$B$54-0.5*(I40/Inputs!$B$54)^3)),Inputs!$B$52+Inputs!$B$53*(1-EXP(-3*I40/Inputs!$B$54)),Inputs!$B$52+Inputs!$B$53*(1-EXP(-3*(I40/Inputs!$B$54)^2))))</f>
        <v>0.15000000000000002</v>
      </c>
    </row>
    <row r="41" spans="1:10" ht="13.5" customHeight="1" x14ac:dyDescent="0.4">
      <c r="A41" s="47" t="s">
        <v>366</v>
      </c>
      <c r="B41" s="48">
        <f>Inputs!$B$52+Inputs!$B$53</f>
        <v>0.15000000000000002</v>
      </c>
      <c r="C41" s="57" t="s">
        <v>161</v>
      </c>
      <c r="D41" s="57" t="s">
        <v>367</v>
      </c>
      <c r="I41" s="42">
        <v>350</v>
      </c>
      <c r="J41" s="48">
        <f>IF(I41=0,0,CHOOSE(Inputs!$B$51,IF(I41&gt;=Inputs!$B$54,Inputs!$B$52+Inputs!$B$53,Inputs!$B$52+Inputs!$B$53*(1.5*I41/Inputs!$B$54-0.5*(I41/Inputs!$B$54)^3)),Inputs!$B$52+Inputs!$B$53*(1-EXP(-3*I41/Inputs!$B$54)),Inputs!$B$52+Inputs!$B$53*(1-EXP(-3*(I41/Inputs!$B$54)^2))))</f>
        <v>0.15000000000000002</v>
      </c>
    </row>
    <row r="42" spans="1:10" ht="13.5" customHeight="1" x14ac:dyDescent="0.4">
      <c r="A42" s="47" t="s">
        <v>368</v>
      </c>
      <c r="B42" s="48">
        <f>SQRT(G39/C39)</f>
        <v>1.6466030220291031E-2</v>
      </c>
      <c r="C42" s="57" t="s">
        <v>161</v>
      </c>
      <c r="D42" s="57" t="s">
        <v>369</v>
      </c>
      <c r="I42" s="42">
        <v>400</v>
      </c>
      <c r="J42" s="48">
        <f>IF(I42=0,0,CHOOSE(Inputs!$B$51,IF(I42&gt;=Inputs!$B$54,Inputs!$B$52+Inputs!$B$53,Inputs!$B$52+Inputs!$B$53*(1.5*I42/Inputs!$B$54-0.5*(I42/Inputs!$B$54)^3)),Inputs!$B$52+Inputs!$B$53*(1-EXP(-3*I42/Inputs!$B$54)),Inputs!$B$52+Inputs!$B$53*(1-EXP(-3*(I42/Inputs!$B$54)^2))))</f>
        <v>0.15000000000000002</v>
      </c>
    </row>
    <row r="43" spans="1:10" x14ac:dyDescent="0.4">
      <c r="A43" s="9" t="s">
        <v>370</v>
      </c>
      <c r="I43" s="42">
        <v>450</v>
      </c>
      <c r="J43" s="48">
        <f>IF(I43=0,0,CHOOSE(Inputs!$B$51,IF(I43&gt;=Inputs!$B$54,Inputs!$B$52+Inputs!$B$53,Inputs!$B$52+Inputs!$B$53*(1.5*I43/Inputs!$B$54-0.5*(I43/Inputs!$B$54)^3)),Inputs!$B$52+Inputs!$B$53*(1-EXP(-3*I43/Inputs!$B$54)),Inputs!$B$52+Inputs!$B$53*(1-EXP(-3*(I43/Inputs!$B$54)^2))))</f>
        <v>0.15000000000000002</v>
      </c>
    </row>
    <row r="44" spans="1:10" x14ac:dyDescent="0.4">
      <c r="I44" s="42">
        <v>500</v>
      </c>
      <c r="J44" s="48">
        <f>IF(I44=0,0,CHOOSE(Inputs!$B$51,IF(I44&gt;=Inputs!$B$54,Inputs!$B$52+Inputs!$B$53,Inputs!$B$52+Inputs!$B$53*(1.5*I44/Inputs!$B$54-0.5*(I44/Inputs!$B$54)^3)),Inputs!$B$52+Inputs!$B$53*(1-EXP(-3*I44/Inputs!$B$54)),Inputs!$B$52+Inputs!$B$53*(1-EXP(-3*(I44/Inputs!$B$54)^2))))</f>
        <v>0.15000000000000002</v>
      </c>
    </row>
    <row r="45" spans="1:10" x14ac:dyDescent="0.4">
      <c r="I45" s="42">
        <v>550</v>
      </c>
      <c r="J45" s="48">
        <f>IF(I45=0,0,CHOOSE(Inputs!$B$51,IF(I45&gt;=Inputs!$B$54,Inputs!$B$52+Inputs!$B$53,Inputs!$B$52+Inputs!$B$53*(1.5*I45/Inputs!$B$54-0.5*(I45/Inputs!$B$54)^3)),Inputs!$B$52+Inputs!$B$53*(1-EXP(-3*I45/Inputs!$B$54)),Inputs!$B$52+Inputs!$B$53*(1-EXP(-3*(I45/Inputs!$B$54)^2))))</f>
        <v>0.15000000000000002</v>
      </c>
    </row>
    <row r="46" spans="1:10" x14ac:dyDescent="0.4">
      <c r="I46" s="42">
        <v>600</v>
      </c>
      <c r="J46" s="48">
        <f>IF(I46=0,0,CHOOSE(Inputs!$B$51,IF(I46&gt;=Inputs!$B$54,Inputs!$B$52+Inputs!$B$53,Inputs!$B$52+Inputs!$B$53*(1.5*I46/Inputs!$B$54-0.5*(I46/Inputs!$B$54)^3)),Inputs!$B$52+Inputs!$B$53*(1-EXP(-3*I46/Inputs!$B$54)),Inputs!$B$52+Inputs!$B$53*(1-EXP(-3*(I46/Inputs!$B$54)^2))))</f>
        <v>0.15000000000000002</v>
      </c>
    </row>
    <row r="62" spans="1:4" x14ac:dyDescent="0.4">
      <c r="A62" s="40" t="s">
        <v>371</v>
      </c>
      <c r="B62" s="40"/>
      <c r="C62" s="40"/>
      <c r="D62" s="40"/>
    </row>
    <row r="63" spans="1:4" ht="30" customHeight="1" x14ac:dyDescent="0.4">
      <c r="A63" s="10" t="s">
        <v>372</v>
      </c>
      <c r="B63" s="10" t="s">
        <v>49</v>
      </c>
      <c r="C63" s="10" t="s">
        <v>50</v>
      </c>
      <c r="D63" s="10" t="s">
        <v>373</v>
      </c>
    </row>
    <row r="64" spans="1:4" ht="13.5" customHeight="1" x14ac:dyDescent="0.4">
      <c r="A64" s="47" t="s">
        <v>374</v>
      </c>
      <c r="B64" s="58">
        <f>Inputs!$B$56</f>
        <v>200</v>
      </c>
      <c r="C64" s="57" t="s">
        <v>54</v>
      </c>
      <c r="D64" s="57" t="s">
        <v>375</v>
      </c>
    </row>
    <row r="65" spans="1:4" ht="13.5" customHeight="1" x14ac:dyDescent="0.4">
      <c r="A65" s="47" t="s">
        <v>376</v>
      </c>
      <c r="B65" s="58">
        <f>Inputs!$B$57</f>
        <v>200</v>
      </c>
      <c r="C65" s="57" t="s">
        <v>54</v>
      </c>
      <c r="D65" s="57" t="s">
        <v>377</v>
      </c>
    </row>
    <row r="66" spans="1:4" ht="13.5" customHeight="1" x14ac:dyDescent="0.4">
      <c r="A66" s="47" t="s">
        <v>378</v>
      </c>
      <c r="B66" s="59" t="str">
        <f>INDEX($A$6:$A$25,MATCH(MIN($V$102:$V$121),$V$102:$V$121,0))</f>
        <v>B2</v>
      </c>
      <c r="C66" s="57"/>
      <c r="D66" s="57" t="s">
        <v>379</v>
      </c>
    </row>
    <row r="67" spans="1:4" ht="13.5" customHeight="1" x14ac:dyDescent="0.4">
      <c r="A67" s="47" t="s">
        <v>380</v>
      </c>
      <c r="B67" s="52">
        <f>MIN($V$102:$V$121)</f>
        <v>70.710678118654755</v>
      </c>
      <c r="C67" s="57" t="s">
        <v>54</v>
      </c>
      <c r="D67" s="57" t="s">
        <v>381</v>
      </c>
    </row>
    <row r="68" spans="1:4" ht="13.5" customHeight="1" x14ac:dyDescent="0.4">
      <c r="A68" s="47" t="s">
        <v>382</v>
      </c>
      <c r="B68" s="48">
        <f>SUM($Y$148:$Y$167)</f>
        <v>0.99999999999999989</v>
      </c>
      <c r="C68" s="57"/>
      <c r="D68" s="57" t="s">
        <v>383</v>
      </c>
    </row>
    <row r="69" spans="1:4" ht="13.5" customHeight="1" x14ac:dyDescent="0.4">
      <c r="A69" s="47" t="s">
        <v>384</v>
      </c>
      <c r="B69" s="60">
        <f>$Y$168</f>
        <v>4.3501566474614395E-3</v>
      </c>
      <c r="C69" s="57" t="s">
        <v>161</v>
      </c>
      <c r="D69" s="57" t="s">
        <v>385</v>
      </c>
    </row>
    <row r="70" spans="1:4" ht="13.5" customHeight="1" x14ac:dyDescent="0.4">
      <c r="A70" s="47" t="s">
        <v>386</v>
      </c>
      <c r="B70" s="51">
        <f>COUNTIF($Y$148:$Y$167,"&lt;0")</f>
        <v>0</v>
      </c>
      <c r="C70" s="57" t="s">
        <v>387</v>
      </c>
      <c r="D70" s="57" t="s">
        <v>388</v>
      </c>
    </row>
    <row r="71" spans="1:4" ht="13.5" customHeight="1" x14ac:dyDescent="0.4">
      <c r="A71" s="47" t="s">
        <v>389</v>
      </c>
      <c r="B71" s="45">
        <f>IF(Inputs!$B$50=1,$B$29+$C$29*$B$64+$D$29*$B$65,0)</f>
        <v>8.1812499999999986</v>
      </c>
      <c r="C71" s="57" t="s">
        <v>54</v>
      </c>
      <c r="D71" s="57" t="s">
        <v>390</v>
      </c>
    </row>
    <row r="72" spans="1:4" ht="13.5" customHeight="1" x14ac:dyDescent="0.4">
      <c r="A72" s="47" t="s">
        <v>391</v>
      </c>
      <c r="B72" s="46">
        <f>IF(Inputs!$B$50=1,$B$30+$C$30*$B$64+$D$30*$B$65,0)</f>
        <v>27.275000000000006</v>
      </c>
      <c r="C72" s="57" t="s">
        <v>54</v>
      </c>
      <c r="D72" s="57"/>
    </row>
    <row r="73" spans="1:4" ht="13.5" customHeight="1" x14ac:dyDescent="0.4">
      <c r="A73" s="47" t="s">
        <v>392</v>
      </c>
      <c r="B73" s="61">
        <f>B71+SUMPRODUCT($Y$148:$Y$167,$G$6:$G$25)</f>
        <v>8.3934294111074159</v>
      </c>
      <c r="C73" s="57" t="s">
        <v>54</v>
      </c>
      <c r="D73" s="57" t="s">
        <v>393</v>
      </c>
    </row>
    <row r="74" spans="1:4" ht="13.5" customHeight="1" x14ac:dyDescent="0.4">
      <c r="A74" s="47" t="s">
        <v>394</v>
      </c>
      <c r="B74" s="60">
        <f>SUMPRODUCT($Y$148:$Y$167,$X$148:$X$167)+B69</f>
        <v>0.12806672223797327</v>
      </c>
      <c r="C74" s="57" t="s">
        <v>161</v>
      </c>
      <c r="D74" s="57" t="s">
        <v>395</v>
      </c>
    </row>
    <row r="75" spans="1:4" ht="13.5" customHeight="1" x14ac:dyDescent="0.4">
      <c r="A75" s="47" t="s">
        <v>396</v>
      </c>
      <c r="B75" s="48">
        <f>SQRT(MAX(B74,0))</f>
        <v>0.3578641114137785</v>
      </c>
      <c r="C75" s="57" t="s">
        <v>54</v>
      </c>
      <c r="D75" s="57"/>
    </row>
    <row r="76" spans="1:4" ht="13.5" customHeight="1" x14ac:dyDescent="0.4">
      <c r="A76" s="47" t="s">
        <v>397</v>
      </c>
      <c r="B76" s="61">
        <f>1.96*B75</f>
        <v>0.70141365837100589</v>
      </c>
      <c r="C76" s="57" t="s">
        <v>54</v>
      </c>
      <c r="D76" s="57" t="s">
        <v>398</v>
      </c>
    </row>
    <row r="77" spans="1:4" ht="13.5" customHeight="1" x14ac:dyDescent="0.4">
      <c r="A77" s="47" t="s">
        <v>399</v>
      </c>
      <c r="B77" s="62">
        <f>IFERROR(B76/B73,0)</f>
        <v>8.3566993181927826E-2</v>
      </c>
      <c r="C77" s="57" t="s">
        <v>192</v>
      </c>
      <c r="D77" s="57" t="s">
        <v>400</v>
      </c>
    </row>
    <row r="78" spans="1:4" ht="13.5" customHeight="1" x14ac:dyDescent="0.4">
      <c r="A78" s="47" t="s">
        <v>401</v>
      </c>
      <c r="B78" s="45">
        <f>INDEX($D$6:$D$25,MATCH(MIN($V$102:$V$121),$V$102:$V$121,0))</f>
        <v>8.5</v>
      </c>
      <c r="C78" s="57" t="s">
        <v>54</v>
      </c>
      <c r="D78" s="57" t="s">
        <v>402</v>
      </c>
    </row>
    <row r="79" spans="1:4" ht="13.5" customHeight="1" x14ac:dyDescent="0.4">
      <c r="A79" s="47" t="s">
        <v>403</v>
      </c>
      <c r="B79" s="45">
        <f>IFERROR(SUMPRODUCT($D$6:$D$25/$V$102:$V$121^2)/SUMPRODUCT(1/$V$102:$V$121^2),B78)</f>
        <v>8.3081497166146576</v>
      </c>
      <c r="C79" s="57" t="s">
        <v>54</v>
      </c>
      <c r="D79" s="57" t="s">
        <v>404</v>
      </c>
    </row>
    <row r="80" spans="1:4" ht="13.5" customHeight="1" x14ac:dyDescent="0.4">
      <c r="A80" s="47" t="s">
        <v>405</v>
      </c>
      <c r="B80" s="46">
        <f>B72+SUMPRODUCT($Y$148:$Y$167,$I$6:$I$25)</f>
        <v>27.462735758645021</v>
      </c>
      <c r="C80" s="57" t="s">
        <v>54</v>
      </c>
      <c r="D80" s="57" t="s">
        <v>406</v>
      </c>
    </row>
    <row r="81" spans="1:22" ht="13.5" customHeight="1" x14ac:dyDescent="0.4">
      <c r="A81" s="47" t="s">
        <v>407</v>
      </c>
      <c r="B81" s="42">
        <f>Inputs!$B$6*Inputs!$B$7*B73*Inputs!$B$8</f>
        <v>117508.0117555038</v>
      </c>
      <c r="C81" s="57" t="s">
        <v>89</v>
      </c>
      <c r="D81" s="57" t="s">
        <v>408</v>
      </c>
    </row>
    <row r="82" spans="1:22" ht="13.5" customHeight="1" x14ac:dyDescent="0.4">
      <c r="A82" s="47" t="s">
        <v>409</v>
      </c>
      <c r="B82" s="42">
        <f>Inputs!$B$6*Inputs!$B$7*(B73-B76)*Inputs!$B$8</f>
        <v>107688.22053830972</v>
      </c>
      <c r="C82" s="57" t="s">
        <v>89</v>
      </c>
      <c r="D82" s="57"/>
    </row>
    <row r="83" spans="1:22" ht="13.5" customHeight="1" x14ac:dyDescent="0.4">
      <c r="A83" s="47" t="s">
        <v>410</v>
      </c>
      <c r="B83" s="42">
        <f>Inputs!$B$6*Inputs!$B$7*(B73+B76)*Inputs!$B$8</f>
        <v>127327.80297269791</v>
      </c>
      <c r="C83" s="57" t="s">
        <v>89</v>
      </c>
      <c r="D83" s="57"/>
    </row>
    <row r="84" spans="1:22" ht="13.5" customHeight="1" x14ac:dyDescent="0.4">
      <c r="A84" s="47" t="s">
        <v>411</v>
      </c>
      <c r="B84" s="45">
        <f>IFERROR(B80/(B73*Inputs!$B$8),0)</f>
        <v>2.3370947519549641</v>
      </c>
      <c r="C84" s="57" t="s">
        <v>318</v>
      </c>
      <c r="D84" s="57" t="s">
        <v>412</v>
      </c>
    </row>
    <row r="85" spans="1:22" x14ac:dyDescent="0.4">
      <c r="A85" s="9" t="s">
        <v>413</v>
      </c>
    </row>
    <row r="96" spans="1:22" x14ac:dyDescent="0.4">
      <c r="A96" s="40" t="s">
        <v>414</v>
      </c>
      <c r="B96" s="40"/>
      <c r="C96" s="40"/>
      <c r="D96" s="40"/>
      <c r="E96" s="40"/>
      <c r="F96" s="40"/>
      <c r="G96" s="40"/>
      <c r="H96" s="40"/>
      <c r="I96" s="40"/>
      <c r="J96" s="40"/>
      <c r="K96" s="40"/>
      <c r="L96" s="40"/>
      <c r="M96" s="40"/>
      <c r="N96" s="40"/>
      <c r="O96" s="40"/>
      <c r="P96" s="40"/>
      <c r="Q96" s="40"/>
      <c r="R96" s="40"/>
      <c r="S96" s="40"/>
      <c r="T96" s="40"/>
      <c r="U96" s="40"/>
      <c r="V96" s="40"/>
    </row>
    <row r="98" spans="1:22" x14ac:dyDescent="0.4">
      <c r="A98" s="63" t="s">
        <v>415</v>
      </c>
    </row>
    <row r="99" spans="1:22" ht="18" customHeight="1" x14ac:dyDescent="0.4">
      <c r="A99" s="10" t="s">
        <v>281</v>
      </c>
      <c r="B99" s="10" t="str">
        <f>$A$6</f>
        <v>A1</v>
      </c>
      <c r="C99" s="10" t="str">
        <f>$A$7</f>
        <v>A2</v>
      </c>
      <c r="D99" s="10" t="str">
        <f>$A$8</f>
        <v>A3</v>
      </c>
      <c r="E99" s="10" t="str">
        <f>$A$9</f>
        <v>A4</v>
      </c>
      <c r="F99" s="10" t="str">
        <f>$A$10</f>
        <v>A5</v>
      </c>
      <c r="G99" s="10" t="str">
        <f>$A$11</f>
        <v>B1</v>
      </c>
      <c r="H99" s="10" t="str">
        <f>$A$12</f>
        <v>B2</v>
      </c>
      <c r="I99" s="10" t="str">
        <f>$A$13</f>
        <v>B3</v>
      </c>
      <c r="J99" s="10" t="str">
        <f>$A$14</f>
        <v>B4</v>
      </c>
      <c r="K99" s="10" t="str">
        <f>$A$15</f>
        <v>B5</v>
      </c>
      <c r="L99" s="10" t="str">
        <f>$A$16</f>
        <v>C1</v>
      </c>
      <c r="M99" s="10" t="str">
        <f>$A$17</f>
        <v>C2</v>
      </c>
      <c r="N99" s="10" t="str">
        <f>$A$18</f>
        <v>C3</v>
      </c>
      <c r="O99" s="10" t="str">
        <f>$A$19</f>
        <v>C4</v>
      </c>
      <c r="P99" s="10" t="str">
        <f>$A$20</f>
        <v>C5</v>
      </c>
      <c r="Q99" s="10" t="str">
        <f>$A$21</f>
        <v>D1</v>
      </c>
      <c r="R99" s="10" t="str">
        <f>$A$22</f>
        <v>D2</v>
      </c>
      <c r="S99" s="10" t="str">
        <f>$A$23</f>
        <v>D3</v>
      </c>
      <c r="T99" s="10" t="str">
        <f>$A$24</f>
        <v>D4</v>
      </c>
      <c r="U99" s="10" t="str">
        <f>$A$25</f>
        <v>D5</v>
      </c>
      <c r="V99" s="10" t="s">
        <v>416</v>
      </c>
    </row>
    <row r="100" spans="1:22" x14ac:dyDescent="0.4">
      <c r="A100" s="47" t="s">
        <v>339</v>
      </c>
      <c r="B100" s="42">
        <f>$B$6</f>
        <v>50</v>
      </c>
      <c r="C100" s="42">
        <f>$B$7</f>
        <v>150</v>
      </c>
      <c r="D100" s="42">
        <f>$B$8</f>
        <v>250</v>
      </c>
      <c r="E100" s="42">
        <f>$B$9</f>
        <v>350</v>
      </c>
      <c r="F100" s="42">
        <f>$B$10</f>
        <v>450</v>
      </c>
      <c r="G100" s="42">
        <f>$B$11</f>
        <v>50</v>
      </c>
      <c r="H100" s="42">
        <f>$B$12</f>
        <v>150</v>
      </c>
      <c r="I100" s="42">
        <f>$B$13</f>
        <v>250</v>
      </c>
      <c r="J100" s="42">
        <f>$B$14</f>
        <v>350</v>
      </c>
      <c r="K100" s="42">
        <f>$B$15</f>
        <v>450</v>
      </c>
      <c r="L100" s="42">
        <f>$B$16</f>
        <v>50</v>
      </c>
      <c r="M100" s="42">
        <f>$B$17</f>
        <v>150</v>
      </c>
      <c r="N100" s="42">
        <f>$B$18</f>
        <v>250</v>
      </c>
      <c r="O100" s="42">
        <f>$B$19</f>
        <v>350</v>
      </c>
      <c r="P100" s="42">
        <f>$B$20</f>
        <v>450</v>
      </c>
      <c r="Q100" s="42">
        <f>$B$21</f>
        <v>50</v>
      </c>
      <c r="R100" s="42">
        <f>$B$22</f>
        <v>150</v>
      </c>
      <c r="S100" s="42">
        <f>$B$23</f>
        <v>250</v>
      </c>
      <c r="T100" s="42">
        <f>$B$24</f>
        <v>350</v>
      </c>
      <c r="U100" s="42">
        <f>$B$25</f>
        <v>450</v>
      </c>
    </row>
    <row r="101" spans="1:22" x14ac:dyDescent="0.4">
      <c r="A101" s="47" t="s">
        <v>340</v>
      </c>
      <c r="B101" s="42">
        <f>$C$6</f>
        <v>50</v>
      </c>
      <c r="C101" s="42">
        <f>$C$7</f>
        <v>50</v>
      </c>
      <c r="D101" s="42">
        <f>$C$8</f>
        <v>50</v>
      </c>
      <c r="E101" s="42">
        <f>$C$9</f>
        <v>50</v>
      </c>
      <c r="F101" s="42">
        <f>$C$10</f>
        <v>50</v>
      </c>
      <c r="G101" s="42">
        <f>$C$11</f>
        <v>150</v>
      </c>
      <c r="H101" s="42">
        <f>$C$12</f>
        <v>150</v>
      </c>
      <c r="I101" s="42">
        <f>$C$13</f>
        <v>150</v>
      </c>
      <c r="J101" s="42">
        <f>$C$14</f>
        <v>150</v>
      </c>
      <c r="K101" s="42">
        <f>$C$15</f>
        <v>150</v>
      </c>
      <c r="L101" s="42">
        <f>$C$16</f>
        <v>250</v>
      </c>
      <c r="M101" s="42">
        <f>$C$17</f>
        <v>250</v>
      </c>
      <c r="N101" s="42">
        <f>$C$18</f>
        <v>250</v>
      </c>
      <c r="O101" s="42">
        <f>$C$19</f>
        <v>250</v>
      </c>
      <c r="P101" s="42">
        <f>$C$20</f>
        <v>250</v>
      </c>
      <c r="Q101" s="42">
        <f>$C$21</f>
        <v>350</v>
      </c>
      <c r="R101" s="42">
        <f>$C$22</f>
        <v>350</v>
      </c>
      <c r="S101" s="42">
        <f>$C$23</f>
        <v>350</v>
      </c>
      <c r="T101" s="42">
        <f>$C$24</f>
        <v>350</v>
      </c>
      <c r="U101" s="42">
        <f>$C$25</f>
        <v>350</v>
      </c>
    </row>
    <row r="102" spans="1:22" x14ac:dyDescent="0.4">
      <c r="A102" s="41" t="str">
        <f>$A$6</f>
        <v>A1</v>
      </c>
      <c r="B102" s="51">
        <f t="shared" ref="B102:U102" si="2">SQRT(($B$6-B$100)^2+($C$6-B$101)^2)</f>
        <v>0</v>
      </c>
      <c r="C102" s="51">
        <f t="shared" si="2"/>
        <v>100</v>
      </c>
      <c r="D102" s="51">
        <f t="shared" si="2"/>
        <v>200</v>
      </c>
      <c r="E102" s="51">
        <f t="shared" si="2"/>
        <v>300</v>
      </c>
      <c r="F102" s="51">
        <f t="shared" si="2"/>
        <v>400</v>
      </c>
      <c r="G102" s="51">
        <f t="shared" si="2"/>
        <v>100</v>
      </c>
      <c r="H102" s="51">
        <f t="shared" si="2"/>
        <v>141.42135623730951</v>
      </c>
      <c r="I102" s="51">
        <f t="shared" si="2"/>
        <v>223.60679774997897</v>
      </c>
      <c r="J102" s="51">
        <f t="shared" si="2"/>
        <v>316.22776601683796</v>
      </c>
      <c r="K102" s="51">
        <f t="shared" si="2"/>
        <v>412.31056256176606</v>
      </c>
      <c r="L102" s="51">
        <f t="shared" si="2"/>
        <v>200</v>
      </c>
      <c r="M102" s="51">
        <f t="shared" si="2"/>
        <v>223.60679774997897</v>
      </c>
      <c r="N102" s="51">
        <f t="shared" si="2"/>
        <v>282.84271247461902</v>
      </c>
      <c r="O102" s="51">
        <f t="shared" si="2"/>
        <v>360.55512754639892</v>
      </c>
      <c r="P102" s="51">
        <f t="shared" si="2"/>
        <v>447.21359549995793</v>
      </c>
      <c r="Q102" s="51">
        <f t="shared" si="2"/>
        <v>300</v>
      </c>
      <c r="R102" s="51">
        <f t="shared" si="2"/>
        <v>316.22776601683796</v>
      </c>
      <c r="S102" s="51">
        <f t="shared" si="2"/>
        <v>360.55512754639892</v>
      </c>
      <c r="T102" s="51">
        <f t="shared" si="2"/>
        <v>424.26406871192853</v>
      </c>
      <c r="U102" s="51">
        <f t="shared" si="2"/>
        <v>500</v>
      </c>
      <c r="V102" s="52">
        <f>SQRT(($B$6-$B$64)^2+($C$6-$B$65)^2)</f>
        <v>212.13203435596427</v>
      </c>
    </row>
    <row r="103" spans="1:22" x14ac:dyDescent="0.4">
      <c r="A103" s="41" t="str">
        <f>$A$7</f>
        <v>A2</v>
      </c>
      <c r="B103" s="51">
        <f t="shared" ref="B103:U103" si="3">SQRT(($B$7-B$100)^2+($C$7-B$101)^2)</f>
        <v>100</v>
      </c>
      <c r="C103" s="51">
        <f t="shared" si="3"/>
        <v>0</v>
      </c>
      <c r="D103" s="51">
        <f t="shared" si="3"/>
        <v>100</v>
      </c>
      <c r="E103" s="51">
        <f t="shared" si="3"/>
        <v>200</v>
      </c>
      <c r="F103" s="51">
        <f t="shared" si="3"/>
        <v>300</v>
      </c>
      <c r="G103" s="51">
        <f t="shared" si="3"/>
        <v>141.42135623730951</v>
      </c>
      <c r="H103" s="51">
        <f t="shared" si="3"/>
        <v>100</v>
      </c>
      <c r="I103" s="51">
        <f t="shared" si="3"/>
        <v>141.42135623730951</v>
      </c>
      <c r="J103" s="51">
        <f t="shared" si="3"/>
        <v>223.60679774997897</v>
      </c>
      <c r="K103" s="51">
        <f t="shared" si="3"/>
        <v>316.22776601683796</v>
      </c>
      <c r="L103" s="51">
        <f t="shared" si="3"/>
        <v>223.60679774997897</v>
      </c>
      <c r="M103" s="51">
        <f t="shared" si="3"/>
        <v>200</v>
      </c>
      <c r="N103" s="51">
        <f t="shared" si="3"/>
        <v>223.60679774997897</v>
      </c>
      <c r="O103" s="51">
        <f t="shared" si="3"/>
        <v>282.84271247461902</v>
      </c>
      <c r="P103" s="51">
        <f t="shared" si="3"/>
        <v>360.55512754639892</v>
      </c>
      <c r="Q103" s="51">
        <f t="shared" si="3"/>
        <v>316.22776601683796</v>
      </c>
      <c r="R103" s="51">
        <f t="shared" si="3"/>
        <v>300</v>
      </c>
      <c r="S103" s="51">
        <f t="shared" si="3"/>
        <v>316.22776601683796</v>
      </c>
      <c r="T103" s="51">
        <f t="shared" si="3"/>
        <v>360.55512754639892</v>
      </c>
      <c r="U103" s="51">
        <f t="shared" si="3"/>
        <v>424.26406871192853</v>
      </c>
      <c r="V103" s="52">
        <f>SQRT(($B$7-$B$64)^2+($C$7-$B$65)^2)</f>
        <v>158.11388300841898</v>
      </c>
    </row>
    <row r="104" spans="1:22" x14ac:dyDescent="0.4">
      <c r="A104" s="41" t="str">
        <f>$A$8</f>
        <v>A3</v>
      </c>
      <c r="B104" s="51">
        <f t="shared" ref="B104:U104" si="4">SQRT(($B$8-B$100)^2+($C$8-B$101)^2)</f>
        <v>200</v>
      </c>
      <c r="C104" s="51">
        <f t="shared" si="4"/>
        <v>100</v>
      </c>
      <c r="D104" s="51">
        <f t="shared" si="4"/>
        <v>0</v>
      </c>
      <c r="E104" s="51">
        <f t="shared" si="4"/>
        <v>100</v>
      </c>
      <c r="F104" s="51">
        <f t="shared" si="4"/>
        <v>200</v>
      </c>
      <c r="G104" s="51">
        <f t="shared" si="4"/>
        <v>223.60679774997897</v>
      </c>
      <c r="H104" s="51">
        <f t="shared" si="4"/>
        <v>141.42135623730951</v>
      </c>
      <c r="I104" s="51">
        <f t="shared" si="4"/>
        <v>100</v>
      </c>
      <c r="J104" s="51">
        <f t="shared" si="4"/>
        <v>141.42135623730951</v>
      </c>
      <c r="K104" s="51">
        <f t="shared" si="4"/>
        <v>223.60679774997897</v>
      </c>
      <c r="L104" s="51">
        <f t="shared" si="4"/>
        <v>282.84271247461902</v>
      </c>
      <c r="M104" s="51">
        <f t="shared" si="4"/>
        <v>223.60679774997897</v>
      </c>
      <c r="N104" s="51">
        <f t="shared" si="4"/>
        <v>200</v>
      </c>
      <c r="O104" s="51">
        <f t="shared" si="4"/>
        <v>223.60679774997897</v>
      </c>
      <c r="P104" s="51">
        <f t="shared" si="4"/>
        <v>282.84271247461902</v>
      </c>
      <c r="Q104" s="51">
        <f t="shared" si="4"/>
        <v>360.55512754639892</v>
      </c>
      <c r="R104" s="51">
        <f t="shared" si="4"/>
        <v>316.22776601683796</v>
      </c>
      <c r="S104" s="51">
        <f t="shared" si="4"/>
        <v>300</v>
      </c>
      <c r="T104" s="51">
        <f t="shared" si="4"/>
        <v>316.22776601683796</v>
      </c>
      <c r="U104" s="51">
        <f t="shared" si="4"/>
        <v>360.55512754639892</v>
      </c>
      <c r="V104" s="52">
        <f>SQRT(($B$8-$B$64)^2+($C$8-$B$65)^2)</f>
        <v>158.11388300841898</v>
      </c>
    </row>
    <row r="105" spans="1:22" x14ac:dyDescent="0.4">
      <c r="A105" s="41" t="str">
        <f>$A$9</f>
        <v>A4</v>
      </c>
      <c r="B105" s="51">
        <f t="shared" ref="B105:U105" si="5">SQRT(($B$9-B$100)^2+($C$9-B$101)^2)</f>
        <v>300</v>
      </c>
      <c r="C105" s="51">
        <f t="shared" si="5"/>
        <v>200</v>
      </c>
      <c r="D105" s="51">
        <f t="shared" si="5"/>
        <v>100</v>
      </c>
      <c r="E105" s="51">
        <f t="shared" si="5"/>
        <v>0</v>
      </c>
      <c r="F105" s="51">
        <f t="shared" si="5"/>
        <v>100</v>
      </c>
      <c r="G105" s="51">
        <f t="shared" si="5"/>
        <v>316.22776601683796</v>
      </c>
      <c r="H105" s="51">
        <f t="shared" si="5"/>
        <v>223.60679774997897</v>
      </c>
      <c r="I105" s="51">
        <f t="shared" si="5"/>
        <v>141.42135623730951</v>
      </c>
      <c r="J105" s="51">
        <f t="shared" si="5"/>
        <v>100</v>
      </c>
      <c r="K105" s="51">
        <f t="shared" si="5"/>
        <v>141.42135623730951</v>
      </c>
      <c r="L105" s="51">
        <f t="shared" si="5"/>
        <v>360.55512754639892</v>
      </c>
      <c r="M105" s="51">
        <f t="shared" si="5"/>
        <v>282.84271247461902</v>
      </c>
      <c r="N105" s="51">
        <f t="shared" si="5"/>
        <v>223.60679774997897</v>
      </c>
      <c r="O105" s="51">
        <f t="shared" si="5"/>
        <v>200</v>
      </c>
      <c r="P105" s="51">
        <f t="shared" si="5"/>
        <v>223.60679774997897</v>
      </c>
      <c r="Q105" s="51">
        <f t="shared" si="5"/>
        <v>424.26406871192853</v>
      </c>
      <c r="R105" s="51">
        <f t="shared" si="5"/>
        <v>360.55512754639892</v>
      </c>
      <c r="S105" s="51">
        <f t="shared" si="5"/>
        <v>316.22776601683796</v>
      </c>
      <c r="T105" s="51">
        <f t="shared" si="5"/>
        <v>300</v>
      </c>
      <c r="U105" s="51">
        <f t="shared" si="5"/>
        <v>316.22776601683796</v>
      </c>
      <c r="V105" s="52">
        <f>SQRT(($B$9-$B$64)^2+($C$9-$B$65)^2)</f>
        <v>212.13203435596427</v>
      </c>
    </row>
    <row r="106" spans="1:22" x14ac:dyDescent="0.4">
      <c r="A106" s="41" t="str">
        <f>$A$10</f>
        <v>A5</v>
      </c>
      <c r="B106" s="51">
        <f t="shared" ref="B106:U106" si="6">SQRT(($B$10-B$100)^2+($C$10-B$101)^2)</f>
        <v>400</v>
      </c>
      <c r="C106" s="51">
        <f t="shared" si="6"/>
        <v>300</v>
      </c>
      <c r="D106" s="51">
        <f t="shared" si="6"/>
        <v>200</v>
      </c>
      <c r="E106" s="51">
        <f t="shared" si="6"/>
        <v>100</v>
      </c>
      <c r="F106" s="51">
        <f t="shared" si="6"/>
        <v>0</v>
      </c>
      <c r="G106" s="51">
        <f t="shared" si="6"/>
        <v>412.31056256176606</v>
      </c>
      <c r="H106" s="51">
        <f t="shared" si="6"/>
        <v>316.22776601683796</v>
      </c>
      <c r="I106" s="51">
        <f t="shared" si="6"/>
        <v>223.60679774997897</v>
      </c>
      <c r="J106" s="51">
        <f t="shared" si="6"/>
        <v>141.42135623730951</v>
      </c>
      <c r="K106" s="51">
        <f t="shared" si="6"/>
        <v>100</v>
      </c>
      <c r="L106" s="51">
        <f t="shared" si="6"/>
        <v>447.21359549995793</v>
      </c>
      <c r="M106" s="51">
        <f t="shared" si="6"/>
        <v>360.55512754639892</v>
      </c>
      <c r="N106" s="51">
        <f t="shared" si="6"/>
        <v>282.84271247461902</v>
      </c>
      <c r="O106" s="51">
        <f t="shared" si="6"/>
        <v>223.60679774997897</v>
      </c>
      <c r="P106" s="51">
        <f t="shared" si="6"/>
        <v>200</v>
      </c>
      <c r="Q106" s="51">
        <f t="shared" si="6"/>
        <v>500</v>
      </c>
      <c r="R106" s="51">
        <f t="shared" si="6"/>
        <v>424.26406871192853</v>
      </c>
      <c r="S106" s="51">
        <f t="shared" si="6"/>
        <v>360.55512754639892</v>
      </c>
      <c r="T106" s="51">
        <f t="shared" si="6"/>
        <v>316.22776601683796</v>
      </c>
      <c r="U106" s="51">
        <f t="shared" si="6"/>
        <v>300</v>
      </c>
      <c r="V106" s="52">
        <f>SQRT(($B$10-$B$64)^2+($C$10-$B$65)^2)</f>
        <v>291.54759474226501</v>
      </c>
    </row>
    <row r="107" spans="1:22" x14ac:dyDescent="0.4">
      <c r="A107" s="41" t="str">
        <f>$A$11</f>
        <v>B1</v>
      </c>
      <c r="B107" s="51">
        <f t="shared" ref="B107:U107" si="7">SQRT(($B$11-B$100)^2+($C$11-B$101)^2)</f>
        <v>100</v>
      </c>
      <c r="C107" s="51">
        <f t="shared" si="7"/>
        <v>141.42135623730951</v>
      </c>
      <c r="D107" s="51">
        <f t="shared" si="7"/>
        <v>223.60679774997897</v>
      </c>
      <c r="E107" s="51">
        <f t="shared" si="7"/>
        <v>316.22776601683796</v>
      </c>
      <c r="F107" s="51">
        <f t="shared" si="7"/>
        <v>412.31056256176606</v>
      </c>
      <c r="G107" s="51">
        <f t="shared" si="7"/>
        <v>0</v>
      </c>
      <c r="H107" s="51">
        <f t="shared" si="7"/>
        <v>100</v>
      </c>
      <c r="I107" s="51">
        <f t="shared" si="7"/>
        <v>200</v>
      </c>
      <c r="J107" s="51">
        <f t="shared" si="7"/>
        <v>300</v>
      </c>
      <c r="K107" s="51">
        <f t="shared" si="7"/>
        <v>400</v>
      </c>
      <c r="L107" s="51">
        <f t="shared" si="7"/>
        <v>100</v>
      </c>
      <c r="M107" s="51">
        <f t="shared" si="7"/>
        <v>141.42135623730951</v>
      </c>
      <c r="N107" s="51">
        <f t="shared" si="7"/>
        <v>223.60679774997897</v>
      </c>
      <c r="O107" s="51">
        <f t="shared" si="7"/>
        <v>316.22776601683796</v>
      </c>
      <c r="P107" s="51">
        <f t="shared" si="7"/>
        <v>412.31056256176606</v>
      </c>
      <c r="Q107" s="51">
        <f t="shared" si="7"/>
        <v>200</v>
      </c>
      <c r="R107" s="51">
        <f t="shared" si="7"/>
        <v>223.60679774997897</v>
      </c>
      <c r="S107" s="51">
        <f t="shared" si="7"/>
        <v>282.84271247461902</v>
      </c>
      <c r="T107" s="51">
        <f t="shared" si="7"/>
        <v>360.55512754639892</v>
      </c>
      <c r="U107" s="51">
        <f t="shared" si="7"/>
        <v>447.21359549995793</v>
      </c>
      <c r="V107" s="52">
        <f>SQRT(($B$11-$B$64)^2+($C$11-$B$65)^2)</f>
        <v>158.11388300841898</v>
      </c>
    </row>
    <row r="108" spans="1:22" x14ac:dyDescent="0.4">
      <c r="A108" s="41" t="str">
        <f>$A$12</f>
        <v>B2</v>
      </c>
      <c r="B108" s="51">
        <f t="shared" ref="B108:U108" si="8">SQRT(($B$12-B$100)^2+($C$12-B$101)^2)</f>
        <v>141.42135623730951</v>
      </c>
      <c r="C108" s="51">
        <f t="shared" si="8"/>
        <v>100</v>
      </c>
      <c r="D108" s="51">
        <f t="shared" si="8"/>
        <v>141.42135623730951</v>
      </c>
      <c r="E108" s="51">
        <f t="shared" si="8"/>
        <v>223.60679774997897</v>
      </c>
      <c r="F108" s="51">
        <f t="shared" si="8"/>
        <v>316.22776601683796</v>
      </c>
      <c r="G108" s="51">
        <f t="shared" si="8"/>
        <v>100</v>
      </c>
      <c r="H108" s="51">
        <f t="shared" si="8"/>
        <v>0</v>
      </c>
      <c r="I108" s="51">
        <f t="shared" si="8"/>
        <v>100</v>
      </c>
      <c r="J108" s="51">
        <f t="shared" si="8"/>
        <v>200</v>
      </c>
      <c r="K108" s="51">
        <f t="shared" si="8"/>
        <v>300</v>
      </c>
      <c r="L108" s="51">
        <f t="shared" si="8"/>
        <v>141.42135623730951</v>
      </c>
      <c r="M108" s="51">
        <f t="shared" si="8"/>
        <v>100</v>
      </c>
      <c r="N108" s="51">
        <f t="shared" si="8"/>
        <v>141.42135623730951</v>
      </c>
      <c r="O108" s="51">
        <f t="shared" si="8"/>
        <v>223.60679774997897</v>
      </c>
      <c r="P108" s="51">
        <f t="shared" si="8"/>
        <v>316.22776601683796</v>
      </c>
      <c r="Q108" s="51">
        <f t="shared" si="8"/>
        <v>223.60679774997897</v>
      </c>
      <c r="R108" s="51">
        <f t="shared" si="8"/>
        <v>200</v>
      </c>
      <c r="S108" s="51">
        <f t="shared" si="8"/>
        <v>223.60679774997897</v>
      </c>
      <c r="T108" s="51">
        <f t="shared" si="8"/>
        <v>282.84271247461902</v>
      </c>
      <c r="U108" s="51">
        <f t="shared" si="8"/>
        <v>360.55512754639892</v>
      </c>
      <c r="V108" s="52">
        <f>SQRT(($B$12-$B$64)^2+($C$12-$B$65)^2)</f>
        <v>70.710678118654755</v>
      </c>
    </row>
    <row r="109" spans="1:22" x14ac:dyDescent="0.4">
      <c r="A109" s="41" t="str">
        <f>$A$13</f>
        <v>B3</v>
      </c>
      <c r="B109" s="51">
        <f t="shared" ref="B109:U109" si="9">SQRT(($B$13-B$100)^2+($C$13-B$101)^2)</f>
        <v>223.60679774997897</v>
      </c>
      <c r="C109" s="51">
        <f t="shared" si="9"/>
        <v>141.42135623730951</v>
      </c>
      <c r="D109" s="51">
        <f t="shared" si="9"/>
        <v>100</v>
      </c>
      <c r="E109" s="51">
        <f t="shared" si="9"/>
        <v>141.42135623730951</v>
      </c>
      <c r="F109" s="51">
        <f t="shared" si="9"/>
        <v>223.60679774997897</v>
      </c>
      <c r="G109" s="51">
        <f t="shared" si="9"/>
        <v>200</v>
      </c>
      <c r="H109" s="51">
        <f t="shared" si="9"/>
        <v>100</v>
      </c>
      <c r="I109" s="51">
        <f t="shared" si="9"/>
        <v>0</v>
      </c>
      <c r="J109" s="51">
        <f t="shared" si="9"/>
        <v>100</v>
      </c>
      <c r="K109" s="51">
        <f t="shared" si="9"/>
        <v>200</v>
      </c>
      <c r="L109" s="51">
        <f t="shared" si="9"/>
        <v>223.60679774997897</v>
      </c>
      <c r="M109" s="51">
        <f t="shared" si="9"/>
        <v>141.42135623730951</v>
      </c>
      <c r="N109" s="51">
        <f t="shared" si="9"/>
        <v>100</v>
      </c>
      <c r="O109" s="51">
        <f t="shared" si="9"/>
        <v>141.42135623730951</v>
      </c>
      <c r="P109" s="51">
        <f t="shared" si="9"/>
        <v>223.60679774997897</v>
      </c>
      <c r="Q109" s="51">
        <f t="shared" si="9"/>
        <v>282.84271247461902</v>
      </c>
      <c r="R109" s="51">
        <f t="shared" si="9"/>
        <v>223.60679774997897</v>
      </c>
      <c r="S109" s="51">
        <f t="shared" si="9"/>
        <v>200</v>
      </c>
      <c r="T109" s="51">
        <f t="shared" si="9"/>
        <v>223.60679774997897</v>
      </c>
      <c r="U109" s="51">
        <f t="shared" si="9"/>
        <v>282.84271247461902</v>
      </c>
      <c r="V109" s="52">
        <f>SQRT(($B$13-$B$64)^2+($C$13-$B$65)^2)</f>
        <v>70.710678118654755</v>
      </c>
    </row>
    <row r="110" spans="1:22" x14ac:dyDescent="0.4">
      <c r="A110" s="41" t="str">
        <f>$A$14</f>
        <v>B4</v>
      </c>
      <c r="B110" s="51">
        <f t="shared" ref="B110:U110" si="10">SQRT(($B$14-B$100)^2+($C$14-B$101)^2)</f>
        <v>316.22776601683796</v>
      </c>
      <c r="C110" s="51">
        <f t="shared" si="10"/>
        <v>223.60679774997897</v>
      </c>
      <c r="D110" s="51">
        <f t="shared" si="10"/>
        <v>141.42135623730951</v>
      </c>
      <c r="E110" s="51">
        <f t="shared" si="10"/>
        <v>100</v>
      </c>
      <c r="F110" s="51">
        <f t="shared" si="10"/>
        <v>141.42135623730951</v>
      </c>
      <c r="G110" s="51">
        <f t="shared" si="10"/>
        <v>300</v>
      </c>
      <c r="H110" s="51">
        <f t="shared" si="10"/>
        <v>200</v>
      </c>
      <c r="I110" s="51">
        <f t="shared" si="10"/>
        <v>100</v>
      </c>
      <c r="J110" s="51">
        <f t="shared" si="10"/>
        <v>0</v>
      </c>
      <c r="K110" s="51">
        <f t="shared" si="10"/>
        <v>100</v>
      </c>
      <c r="L110" s="51">
        <f t="shared" si="10"/>
        <v>316.22776601683796</v>
      </c>
      <c r="M110" s="51">
        <f t="shared" si="10"/>
        <v>223.60679774997897</v>
      </c>
      <c r="N110" s="51">
        <f t="shared" si="10"/>
        <v>141.42135623730951</v>
      </c>
      <c r="O110" s="51">
        <f t="shared" si="10"/>
        <v>100</v>
      </c>
      <c r="P110" s="51">
        <f t="shared" si="10"/>
        <v>141.42135623730951</v>
      </c>
      <c r="Q110" s="51">
        <f t="shared" si="10"/>
        <v>360.55512754639892</v>
      </c>
      <c r="R110" s="51">
        <f t="shared" si="10"/>
        <v>282.84271247461902</v>
      </c>
      <c r="S110" s="51">
        <f t="shared" si="10"/>
        <v>223.60679774997897</v>
      </c>
      <c r="T110" s="51">
        <f t="shared" si="10"/>
        <v>200</v>
      </c>
      <c r="U110" s="51">
        <f t="shared" si="10"/>
        <v>223.60679774997897</v>
      </c>
      <c r="V110" s="52">
        <f>SQRT(($B$14-$B$64)^2+($C$14-$B$65)^2)</f>
        <v>158.11388300841898</v>
      </c>
    </row>
    <row r="111" spans="1:22" x14ac:dyDescent="0.4">
      <c r="A111" s="41" t="str">
        <f>$A$15</f>
        <v>B5</v>
      </c>
      <c r="B111" s="51">
        <f t="shared" ref="B111:U111" si="11">SQRT(($B$15-B$100)^2+($C$15-B$101)^2)</f>
        <v>412.31056256176606</v>
      </c>
      <c r="C111" s="51">
        <f t="shared" si="11"/>
        <v>316.22776601683796</v>
      </c>
      <c r="D111" s="51">
        <f t="shared" si="11"/>
        <v>223.60679774997897</v>
      </c>
      <c r="E111" s="51">
        <f t="shared" si="11"/>
        <v>141.42135623730951</v>
      </c>
      <c r="F111" s="51">
        <f t="shared" si="11"/>
        <v>100</v>
      </c>
      <c r="G111" s="51">
        <f t="shared" si="11"/>
        <v>400</v>
      </c>
      <c r="H111" s="51">
        <f t="shared" si="11"/>
        <v>300</v>
      </c>
      <c r="I111" s="51">
        <f t="shared" si="11"/>
        <v>200</v>
      </c>
      <c r="J111" s="51">
        <f t="shared" si="11"/>
        <v>100</v>
      </c>
      <c r="K111" s="51">
        <f t="shared" si="11"/>
        <v>0</v>
      </c>
      <c r="L111" s="51">
        <f t="shared" si="11"/>
        <v>412.31056256176606</v>
      </c>
      <c r="M111" s="51">
        <f t="shared" si="11"/>
        <v>316.22776601683796</v>
      </c>
      <c r="N111" s="51">
        <f t="shared" si="11"/>
        <v>223.60679774997897</v>
      </c>
      <c r="O111" s="51">
        <f t="shared" si="11"/>
        <v>141.42135623730951</v>
      </c>
      <c r="P111" s="51">
        <f t="shared" si="11"/>
        <v>100</v>
      </c>
      <c r="Q111" s="51">
        <f t="shared" si="11"/>
        <v>447.21359549995793</v>
      </c>
      <c r="R111" s="51">
        <f t="shared" si="11"/>
        <v>360.55512754639892</v>
      </c>
      <c r="S111" s="51">
        <f t="shared" si="11"/>
        <v>282.84271247461902</v>
      </c>
      <c r="T111" s="51">
        <f t="shared" si="11"/>
        <v>223.60679774997897</v>
      </c>
      <c r="U111" s="51">
        <f t="shared" si="11"/>
        <v>200</v>
      </c>
      <c r="V111" s="52">
        <f>SQRT(($B$15-$B$64)^2+($C$15-$B$65)^2)</f>
        <v>254.95097567963924</v>
      </c>
    </row>
    <row r="112" spans="1:22" x14ac:dyDescent="0.4">
      <c r="A112" s="41" t="str">
        <f>$A$16</f>
        <v>C1</v>
      </c>
      <c r="B112" s="51">
        <f t="shared" ref="B112:U112" si="12">SQRT(($B$16-B$100)^2+($C$16-B$101)^2)</f>
        <v>200</v>
      </c>
      <c r="C112" s="51">
        <f t="shared" si="12"/>
        <v>223.60679774997897</v>
      </c>
      <c r="D112" s="51">
        <f t="shared" si="12"/>
        <v>282.84271247461902</v>
      </c>
      <c r="E112" s="51">
        <f t="shared" si="12"/>
        <v>360.55512754639892</v>
      </c>
      <c r="F112" s="51">
        <f t="shared" si="12"/>
        <v>447.21359549995793</v>
      </c>
      <c r="G112" s="51">
        <f t="shared" si="12"/>
        <v>100</v>
      </c>
      <c r="H112" s="51">
        <f t="shared" si="12"/>
        <v>141.42135623730951</v>
      </c>
      <c r="I112" s="51">
        <f t="shared" si="12"/>
        <v>223.60679774997897</v>
      </c>
      <c r="J112" s="51">
        <f t="shared" si="12"/>
        <v>316.22776601683796</v>
      </c>
      <c r="K112" s="51">
        <f t="shared" si="12"/>
        <v>412.31056256176606</v>
      </c>
      <c r="L112" s="51">
        <f t="shared" si="12"/>
        <v>0</v>
      </c>
      <c r="M112" s="51">
        <f t="shared" si="12"/>
        <v>100</v>
      </c>
      <c r="N112" s="51">
        <f t="shared" si="12"/>
        <v>200</v>
      </c>
      <c r="O112" s="51">
        <f t="shared" si="12"/>
        <v>300</v>
      </c>
      <c r="P112" s="51">
        <f t="shared" si="12"/>
        <v>400</v>
      </c>
      <c r="Q112" s="51">
        <f t="shared" si="12"/>
        <v>100</v>
      </c>
      <c r="R112" s="51">
        <f t="shared" si="12"/>
        <v>141.42135623730951</v>
      </c>
      <c r="S112" s="51">
        <f t="shared" si="12"/>
        <v>223.60679774997897</v>
      </c>
      <c r="T112" s="51">
        <f t="shared" si="12"/>
        <v>316.22776601683796</v>
      </c>
      <c r="U112" s="51">
        <f t="shared" si="12"/>
        <v>412.31056256176606</v>
      </c>
      <c r="V112" s="52">
        <f>SQRT(($B$16-$B$64)^2+($C$16-$B$65)^2)</f>
        <v>158.11388300841898</v>
      </c>
    </row>
    <row r="113" spans="1:22" x14ac:dyDescent="0.4">
      <c r="A113" s="41" t="str">
        <f>$A$17</f>
        <v>C2</v>
      </c>
      <c r="B113" s="51">
        <f t="shared" ref="B113:U113" si="13">SQRT(($B$17-B$100)^2+($C$17-B$101)^2)</f>
        <v>223.60679774997897</v>
      </c>
      <c r="C113" s="51">
        <f t="shared" si="13"/>
        <v>200</v>
      </c>
      <c r="D113" s="51">
        <f t="shared" si="13"/>
        <v>223.60679774997897</v>
      </c>
      <c r="E113" s="51">
        <f t="shared" si="13"/>
        <v>282.84271247461902</v>
      </c>
      <c r="F113" s="51">
        <f t="shared" si="13"/>
        <v>360.55512754639892</v>
      </c>
      <c r="G113" s="51">
        <f t="shared" si="13"/>
        <v>141.42135623730951</v>
      </c>
      <c r="H113" s="51">
        <f t="shared" si="13"/>
        <v>100</v>
      </c>
      <c r="I113" s="51">
        <f t="shared" si="13"/>
        <v>141.42135623730951</v>
      </c>
      <c r="J113" s="51">
        <f t="shared" si="13"/>
        <v>223.60679774997897</v>
      </c>
      <c r="K113" s="51">
        <f t="shared" si="13"/>
        <v>316.22776601683796</v>
      </c>
      <c r="L113" s="51">
        <f t="shared" si="13"/>
        <v>100</v>
      </c>
      <c r="M113" s="51">
        <f t="shared" si="13"/>
        <v>0</v>
      </c>
      <c r="N113" s="51">
        <f t="shared" si="13"/>
        <v>100</v>
      </c>
      <c r="O113" s="51">
        <f t="shared" si="13"/>
        <v>200</v>
      </c>
      <c r="P113" s="51">
        <f t="shared" si="13"/>
        <v>300</v>
      </c>
      <c r="Q113" s="51">
        <f t="shared" si="13"/>
        <v>141.42135623730951</v>
      </c>
      <c r="R113" s="51">
        <f t="shared" si="13"/>
        <v>100</v>
      </c>
      <c r="S113" s="51">
        <f t="shared" si="13"/>
        <v>141.42135623730951</v>
      </c>
      <c r="T113" s="51">
        <f t="shared" si="13"/>
        <v>223.60679774997897</v>
      </c>
      <c r="U113" s="51">
        <f t="shared" si="13"/>
        <v>316.22776601683796</v>
      </c>
      <c r="V113" s="52">
        <f>SQRT(($B$17-$B$64)^2+($C$17-$B$65)^2)</f>
        <v>70.710678118654755</v>
      </c>
    </row>
    <row r="114" spans="1:22" x14ac:dyDescent="0.4">
      <c r="A114" s="41" t="str">
        <f>$A$18</f>
        <v>C3</v>
      </c>
      <c r="B114" s="51">
        <f t="shared" ref="B114:U114" si="14">SQRT(($B$18-B$100)^2+($C$18-B$101)^2)</f>
        <v>282.84271247461902</v>
      </c>
      <c r="C114" s="51">
        <f t="shared" si="14"/>
        <v>223.60679774997897</v>
      </c>
      <c r="D114" s="51">
        <f t="shared" si="14"/>
        <v>200</v>
      </c>
      <c r="E114" s="51">
        <f t="shared" si="14"/>
        <v>223.60679774997897</v>
      </c>
      <c r="F114" s="51">
        <f t="shared" si="14"/>
        <v>282.84271247461902</v>
      </c>
      <c r="G114" s="51">
        <f t="shared" si="14"/>
        <v>223.60679774997897</v>
      </c>
      <c r="H114" s="51">
        <f t="shared" si="14"/>
        <v>141.42135623730951</v>
      </c>
      <c r="I114" s="51">
        <f t="shared" si="14"/>
        <v>100</v>
      </c>
      <c r="J114" s="51">
        <f t="shared" si="14"/>
        <v>141.42135623730951</v>
      </c>
      <c r="K114" s="51">
        <f t="shared" si="14"/>
        <v>223.60679774997897</v>
      </c>
      <c r="L114" s="51">
        <f t="shared" si="14"/>
        <v>200</v>
      </c>
      <c r="M114" s="51">
        <f t="shared" si="14"/>
        <v>100</v>
      </c>
      <c r="N114" s="51">
        <f t="shared" si="14"/>
        <v>0</v>
      </c>
      <c r="O114" s="51">
        <f t="shared" si="14"/>
        <v>100</v>
      </c>
      <c r="P114" s="51">
        <f t="shared" si="14"/>
        <v>200</v>
      </c>
      <c r="Q114" s="51">
        <f t="shared" si="14"/>
        <v>223.60679774997897</v>
      </c>
      <c r="R114" s="51">
        <f t="shared" si="14"/>
        <v>141.42135623730951</v>
      </c>
      <c r="S114" s="51">
        <f t="shared" si="14"/>
        <v>100</v>
      </c>
      <c r="T114" s="51">
        <f t="shared" si="14"/>
        <v>141.42135623730951</v>
      </c>
      <c r="U114" s="51">
        <f t="shared" si="14"/>
        <v>223.60679774997897</v>
      </c>
      <c r="V114" s="52">
        <f>SQRT(($B$18-$B$64)^2+($C$18-$B$65)^2)</f>
        <v>70.710678118654755</v>
      </c>
    </row>
    <row r="115" spans="1:22" x14ac:dyDescent="0.4">
      <c r="A115" s="41" t="str">
        <f>$A$19</f>
        <v>C4</v>
      </c>
      <c r="B115" s="51">
        <f t="shared" ref="B115:U115" si="15">SQRT(($B$19-B$100)^2+($C$19-B$101)^2)</f>
        <v>360.55512754639892</v>
      </c>
      <c r="C115" s="51">
        <f t="shared" si="15"/>
        <v>282.84271247461902</v>
      </c>
      <c r="D115" s="51">
        <f t="shared" si="15"/>
        <v>223.60679774997897</v>
      </c>
      <c r="E115" s="51">
        <f t="shared" si="15"/>
        <v>200</v>
      </c>
      <c r="F115" s="51">
        <f t="shared" si="15"/>
        <v>223.60679774997897</v>
      </c>
      <c r="G115" s="51">
        <f t="shared" si="15"/>
        <v>316.22776601683796</v>
      </c>
      <c r="H115" s="51">
        <f t="shared" si="15"/>
        <v>223.60679774997897</v>
      </c>
      <c r="I115" s="51">
        <f t="shared" si="15"/>
        <v>141.42135623730951</v>
      </c>
      <c r="J115" s="51">
        <f t="shared" si="15"/>
        <v>100</v>
      </c>
      <c r="K115" s="51">
        <f t="shared" si="15"/>
        <v>141.42135623730951</v>
      </c>
      <c r="L115" s="51">
        <f t="shared" si="15"/>
        <v>300</v>
      </c>
      <c r="M115" s="51">
        <f t="shared" si="15"/>
        <v>200</v>
      </c>
      <c r="N115" s="51">
        <f t="shared" si="15"/>
        <v>100</v>
      </c>
      <c r="O115" s="51">
        <f t="shared" si="15"/>
        <v>0</v>
      </c>
      <c r="P115" s="51">
        <f t="shared" si="15"/>
        <v>100</v>
      </c>
      <c r="Q115" s="51">
        <f t="shared" si="15"/>
        <v>316.22776601683796</v>
      </c>
      <c r="R115" s="51">
        <f t="shared" si="15"/>
        <v>223.60679774997897</v>
      </c>
      <c r="S115" s="51">
        <f t="shared" si="15"/>
        <v>141.42135623730951</v>
      </c>
      <c r="T115" s="51">
        <f t="shared" si="15"/>
        <v>100</v>
      </c>
      <c r="U115" s="51">
        <f t="shared" si="15"/>
        <v>141.42135623730951</v>
      </c>
      <c r="V115" s="52">
        <f>SQRT(($B$19-$B$64)^2+($C$19-$B$65)^2)</f>
        <v>158.11388300841898</v>
      </c>
    </row>
    <row r="116" spans="1:22" x14ac:dyDescent="0.4">
      <c r="A116" s="41" t="str">
        <f>$A$20</f>
        <v>C5</v>
      </c>
      <c r="B116" s="51">
        <f t="shared" ref="B116:U116" si="16">SQRT(($B$20-B$100)^2+($C$20-B$101)^2)</f>
        <v>447.21359549995793</v>
      </c>
      <c r="C116" s="51">
        <f t="shared" si="16"/>
        <v>360.55512754639892</v>
      </c>
      <c r="D116" s="51">
        <f t="shared" si="16"/>
        <v>282.84271247461902</v>
      </c>
      <c r="E116" s="51">
        <f t="shared" si="16"/>
        <v>223.60679774997897</v>
      </c>
      <c r="F116" s="51">
        <f t="shared" si="16"/>
        <v>200</v>
      </c>
      <c r="G116" s="51">
        <f t="shared" si="16"/>
        <v>412.31056256176606</v>
      </c>
      <c r="H116" s="51">
        <f t="shared" si="16"/>
        <v>316.22776601683796</v>
      </c>
      <c r="I116" s="51">
        <f t="shared" si="16"/>
        <v>223.60679774997897</v>
      </c>
      <c r="J116" s="51">
        <f t="shared" si="16"/>
        <v>141.42135623730951</v>
      </c>
      <c r="K116" s="51">
        <f t="shared" si="16"/>
        <v>100</v>
      </c>
      <c r="L116" s="51">
        <f t="shared" si="16"/>
        <v>400</v>
      </c>
      <c r="M116" s="51">
        <f t="shared" si="16"/>
        <v>300</v>
      </c>
      <c r="N116" s="51">
        <f t="shared" si="16"/>
        <v>200</v>
      </c>
      <c r="O116" s="51">
        <f t="shared" si="16"/>
        <v>100</v>
      </c>
      <c r="P116" s="51">
        <f t="shared" si="16"/>
        <v>0</v>
      </c>
      <c r="Q116" s="51">
        <f t="shared" si="16"/>
        <v>412.31056256176606</v>
      </c>
      <c r="R116" s="51">
        <f t="shared" si="16"/>
        <v>316.22776601683796</v>
      </c>
      <c r="S116" s="51">
        <f t="shared" si="16"/>
        <v>223.60679774997897</v>
      </c>
      <c r="T116" s="51">
        <f t="shared" si="16"/>
        <v>141.42135623730951</v>
      </c>
      <c r="U116" s="51">
        <f t="shared" si="16"/>
        <v>100</v>
      </c>
      <c r="V116" s="52">
        <f>SQRT(($B$20-$B$64)^2+($C$20-$B$65)^2)</f>
        <v>254.95097567963924</v>
      </c>
    </row>
    <row r="117" spans="1:22" x14ac:dyDescent="0.4">
      <c r="A117" s="41" t="str">
        <f>$A$21</f>
        <v>D1</v>
      </c>
      <c r="B117" s="51">
        <f t="shared" ref="B117:U117" si="17">SQRT(($B$21-B$100)^2+($C$21-B$101)^2)</f>
        <v>300</v>
      </c>
      <c r="C117" s="51">
        <f t="shared" si="17"/>
        <v>316.22776601683796</v>
      </c>
      <c r="D117" s="51">
        <f t="shared" si="17"/>
        <v>360.55512754639892</v>
      </c>
      <c r="E117" s="51">
        <f t="shared" si="17"/>
        <v>424.26406871192853</v>
      </c>
      <c r="F117" s="51">
        <f t="shared" si="17"/>
        <v>500</v>
      </c>
      <c r="G117" s="51">
        <f t="shared" si="17"/>
        <v>200</v>
      </c>
      <c r="H117" s="51">
        <f t="shared" si="17"/>
        <v>223.60679774997897</v>
      </c>
      <c r="I117" s="51">
        <f t="shared" si="17"/>
        <v>282.84271247461902</v>
      </c>
      <c r="J117" s="51">
        <f t="shared" si="17"/>
        <v>360.55512754639892</v>
      </c>
      <c r="K117" s="51">
        <f t="shared" si="17"/>
        <v>447.21359549995793</v>
      </c>
      <c r="L117" s="51">
        <f t="shared" si="17"/>
        <v>100</v>
      </c>
      <c r="M117" s="51">
        <f t="shared" si="17"/>
        <v>141.42135623730951</v>
      </c>
      <c r="N117" s="51">
        <f t="shared" si="17"/>
        <v>223.60679774997897</v>
      </c>
      <c r="O117" s="51">
        <f t="shared" si="17"/>
        <v>316.22776601683796</v>
      </c>
      <c r="P117" s="51">
        <f t="shared" si="17"/>
        <v>412.31056256176606</v>
      </c>
      <c r="Q117" s="51">
        <f t="shared" si="17"/>
        <v>0</v>
      </c>
      <c r="R117" s="51">
        <f t="shared" si="17"/>
        <v>100</v>
      </c>
      <c r="S117" s="51">
        <f t="shared" si="17"/>
        <v>200</v>
      </c>
      <c r="T117" s="51">
        <f t="shared" si="17"/>
        <v>300</v>
      </c>
      <c r="U117" s="51">
        <f t="shared" si="17"/>
        <v>400</v>
      </c>
      <c r="V117" s="52">
        <f>SQRT(($B$21-$B$64)^2+($C$21-$B$65)^2)</f>
        <v>212.13203435596427</v>
      </c>
    </row>
    <row r="118" spans="1:22" x14ac:dyDescent="0.4">
      <c r="A118" s="41" t="str">
        <f>$A$22</f>
        <v>D2</v>
      </c>
      <c r="B118" s="51">
        <f t="shared" ref="B118:U118" si="18">SQRT(($B$22-B$100)^2+($C$22-B$101)^2)</f>
        <v>316.22776601683796</v>
      </c>
      <c r="C118" s="51">
        <f t="shared" si="18"/>
        <v>300</v>
      </c>
      <c r="D118" s="51">
        <f t="shared" si="18"/>
        <v>316.22776601683796</v>
      </c>
      <c r="E118" s="51">
        <f t="shared" si="18"/>
        <v>360.55512754639892</v>
      </c>
      <c r="F118" s="51">
        <f t="shared" si="18"/>
        <v>424.26406871192853</v>
      </c>
      <c r="G118" s="51">
        <f t="shared" si="18"/>
        <v>223.60679774997897</v>
      </c>
      <c r="H118" s="51">
        <f t="shared" si="18"/>
        <v>200</v>
      </c>
      <c r="I118" s="51">
        <f t="shared" si="18"/>
        <v>223.60679774997897</v>
      </c>
      <c r="J118" s="51">
        <f t="shared" si="18"/>
        <v>282.84271247461902</v>
      </c>
      <c r="K118" s="51">
        <f t="shared" si="18"/>
        <v>360.55512754639892</v>
      </c>
      <c r="L118" s="51">
        <f t="shared" si="18"/>
        <v>141.42135623730951</v>
      </c>
      <c r="M118" s="51">
        <f t="shared" si="18"/>
        <v>100</v>
      </c>
      <c r="N118" s="51">
        <f t="shared" si="18"/>
        <v>141.42135623730951</v>
      </c>
      <c r="O118" s="51">
        <f t="shared" si="18"/>
        <v>223.60679774997897</v>
      </c>
      <c r="P118" s="51">
        <f t="shared" si="18"/>
        <v>316.22776601683796</v>
      </c>
      <c r="Q118" s="51">
        <f t="shared" si="18"/>
        <v>100</v>
      </c>
      <c r="R118" s="51">
        <f t="shared" si="18"/>
        <v>0</v>
      </c>
      <c r="S118" s="51">
        <f t="shared" si="18"/>
        <v>100</v>
      </c>
      <c r="T118" s="51">
        <f t="shared" si="18"/>
        <v>200</v>
      </c>
      <c r="U118" s="51">
        <f t="shared" si="18"/>
        <v>300</v>
      </c>
      <c r="V118" s="52">
        <f>SQRT(($B$22-$B$64)^2+($C$22-$B$65)^2)</f>
        <v>158.11388300841898</v>
      </c>
    </row>
    <row r="119" spans="1:22" x14ac:dyDescent="0.4">
      <c r="A119" s="41" t="str">
        <f>$A$23</f>
        <v>D3</v>
      </c>
      <c r="B119" s="51">
        <f t="shared" ref="B119:U119" si="19">SQRT(($B$23-B$100)^2+($C$23-B$101)^2)</f>
        <v>360.55512754639892</v>
      </c>
      <c r="C119" s="51">
        <f t="shared" si="19"/>
        <v>316.22776601683796</v>
      </c>
      <c r="D119" s="51">
        <f t="shared" si="19"/>
        <v>300</v>
      </c>
      <c r="E119" s="51">
        <f t="shared" si="19"/>
        <v>316.22776601683796</v>
      </c>
      <c r="F119" s="51">
        <f t="shared" si="19"/>
        <v>360.55512754639892</v>
      </c>
      <c r="G119" s="51">
        <f t="shared" si="19"/>
        <v>282.84271247461902</v>
      </c>
      <c r="H119" s="51">
        <f t="shared" si="19"/>
        <v>223.60679774997897</v>
      </c>
      <c r="I119" s="51">
        <f t="shared" si="19"/>
        <v>200</v>
      </c>
      <c r="J119" s="51">
        <f t="shared" si="19"/>
        <v>223.60679774997897</v>
      </c>
      <c r="K119" s="51">
        <f t="shared" si="19"/>
        <v>282.84271247461902</v>
      </c>
      <c r="L119" s="51">
        <f t="shared" si="19"/>
        <v>223.60679774997897</v>
      </c>
      <c r="M119" s="51">
        <f t="shared" si="19"/>
        <v>141.42135623730951</v>
      </c>
      <c r="N119" s="51">
        <f t="shared" si="19"/>
        <v>100</v>
      </c>
      <c r="O119" s="51">
        <f t="shared" si="19"/>
        <v>141.42135623730951</v>
      </c>
      <c r="P119" s="51">
        <f t="shared" si="19"/>
        <v>223.60679774997897</v>
      </c>
      <c r="Q119" s="51">
        <f t="shared" si="19"/>
        <v>200</v>
      </c>
      <c r="R119" s="51">
        <f t="shared" si="19"/>
        <v>100</v>
      </c>
      <c r="S119" s="51">
        <f t="shared" si="19"/>
        <v>0</v>
      </c>
      <c r="T119" s="51">
        <f t="shared" si="19"/>
        <v>100</v>
      </c>
      <c r="U119" s="51">
        <f t="shared" si="19"/>
        <v>200</v>
      </c>
      <c r="V119" s="52">
        <f>SQRT(($B$23-$B$64)^2+($C$23-$B$65)^2)</f>
        <v>158.11388300841898</v>
      </c>
    </row>
    <row r="120" spans="1:22" x14ac:dyDescent="0.4">
      <c r="A120" s="41" t="str">
        <f>$A$24</f>
        <v>D4</v>
      </c>
      <c r="B120" s="51">
        <f t="shared" ref="B120:U120" si="20">SQRT(($B$24-B$100)^2+($C$24-B$101)^2)</f>
        <v>424.26406871192853</v>
      </c>
      <c r="C120" s="51">
        <f t="shared" si="20"/>
        <v>360.55512754639892</v>
      </c>
      <c r="D120" s="51">
        <f t="shared" si="20"/>
        <v>316.22776601683796</v>
      </c>
      <c r="E120" s="51">
        <f t="shared" si="20"/>
        <v>300</v>
      </c>
      <c r="F120" s="51">
        <f t="shared" si="20"/>
        <v>316.22776601683796</v>
      </c>
      <c r="G120" s="51">
        <f t="shared" si="20"/>
        <v>360.55512754639892</v>
      </c>
      <c r="H120" s="51">
        <f t="shared" si="20"/>
        <v>282.84271247461902</v>
      </c>
      <c r="I120" s="51">
        <f t="shared" si="20"/>
        <v>223.60679774997897</v>
      </c>
      <c r="J120" s="51">
        <f t="shared" si="20"/>
        <v>200</v>
      </c>
      <c r="K120" s="51">
        <f t="shared" si="20"/>
        <v>223.60679774997897</v>
      </c>
      <c r="L120" s="51">
        <f t="shared" si="20"/>
        <v>316.22776601683796</v>
      </c>
      <c r="M120" s="51">
        <f t="shared" si="20"/>
        <v>223.60679774997897</v>
      </c>
      <c r="N120" s="51">
        <f t="shared" si="20"/>
        <v>141.42135623730951</v>
      </c>
      <c r="O120" s="51">
        <f t="shared" si="20"/>
        <v>100</v>
      </c>
      <c r="P120" s="51">
        <f t="shared" si="20"/>
        <v>141.42135623730951</v>
      </c>
      <c r="Q120" s="51">
        <f t="shared" si="20"/>
        <v>300</v>
      </c>
      <c r="R120" s="51">
        <f t="shared" si="20"/>
        <v>200</v>
      </c>
      <c r="S120" s="51">
        <f t="shared" si="20"/>
        <v>100</v>
      </c>
      <c r="T120" s="51">
        <f t="shared" si="20"/>
        <v>0</v>
      </c>
      <c r="U120" s="51">
        <f t="shared" si="20"/>
        <v>100</v>
      </c>
      <c r="V120" s="52">
        <f>SQRT(($B$24-$B$64)^2+($C$24-$B$65)^2)</f>
        <v>212.13203435596427</v>
      </c>
    </row>
    <row r="121" spans="1:22" x14ac:dyDescent="0.4">
      <c r="A121" s="41" t="str">
        <f>$A$25</f>
        <v>D5</v>
      </c>
      <c r="B121" s="51">
        <f t="shared" ref="B121:U121" si="21">SQRT(($B$25-B$100)^2+($C$25-B$101)^2)</f>
        <v>500</v>
      </c>
      <c r="C121" s="51">
        <f t="shared" si="21"/>
        <v>424.26406871192853</v>
      </c>
      <c r="D121" s="51">
        <f t="shared" si="21"/>
        <v>360.55512754639892</v>
      </c>
      <c r="E121" s="51">
        <f t="shared" si="21"/>
        <v>316.22776601683796</v>
      </c>
      <c r="F121" s="51">
        <f t="shared" si="21"/>
        <v>300</v>
      </c>
      <c r="G121" s="51">
        <f t="shared" si="21"/>
        <v>447.21359549995793</v>
      </c>
      <c r="H121" s="51">
        <f t="shared" si="21"/>
        <v>360.55512754639892</v>
      </c>
      <c r="I121" s="51">
        <f t="shared" si="21"/>
        <v>282.84271247461902</v>
      </c>
      <c r="J121" s="51">
        <f t="shared" si="21"/>
        <v>223.60679774997897</v>
      </c>
      <c r="K121" s="51">
        <f t="shared" si="21"/>
        <v>200</v>
      </c>
      <c r="L121" s="51">
        <f t="shared" si="21"/>
        <v>412.31056256176606</v>
      </c>
      <c r="M121" s="51">
        <f t="shared" si="21"/>
        <v>316.22776601683796</v>
      </c>
      <c r="N121" s="51">
        <f t="shared" si="21"/>
        <v>223.60679774997897</v>
      </c>
      <c r="O121" s="51">
        <f t="shared" si="21"/>
        <v>141.42135623730951</v>
      </c>
      <c r="P121" s="51">
        <f t="shared" si="21"/>
        <v>100</v>
      </c>
      <c r="Q121" s="51">
        <f t="shared" si="21"/>
        <v>400</v>
      </c>
      <c r="R121" s="51">
        <f t="shared" si="21"/>
        <v>300</v>
      </c>
      <c r="S121" s="51">
        <f t="shared" si="21"/>
        <v>200</v>
      </c>
      <c r="T121" s="51">
        <f t="shared" si="21"/>
        <v>100</v>
      </c>
      <c r="U121" s="51">
        <f t="shared" si="21"/>
        <v>0</v>
      </c>
      <c r="V121" s="52">
        <f>SQRT(($B$25-$B$64)^2+($C$25-$B$65)^2)</f>
        <v>291.54759474226501</v>
      </c>
    </row>
    <row r="123" spans="1:22" x14ac:dyDescent="0.4">
      <c r="A123" s="63" t="s">
        <v>417</v>
      </c>
    </row>
    <row r="124" spans="1:22" ht="18" customHeight="1" x14ac:dyDescent="0.4">
      <c r="A124" s="10" t="s">
        <v>281</v>
      </c>
      <c r="B124" s="10" t="str">
        <f>$A$6</f>
        <v>A1</v>
      </c>
      <c r="C124" s="10" t="str">
        <f>$A$7</f>
        <v>A2</v>
      </c>
      <c r="D124" s="10" t="str">
        <f>$A$8</f>
        <v>A3</v>
      </c>
      <c r="E124" s="10" t="str">
        <f>$A$9</f>
        <v>A4</v>
      </c>
      <c r="F124" s="10" t="str">
        <f>$A$10</f>
        <v>A5</v>
      </c>
      <c r="G124" s="10" t="str">
        <f>$A$11</f>
        <v>B1</v>
      </c>
      <c r="H124" s="10" t="str">
        <f>$A$12</f>
        <v>B2</v>
      </c>
      <c r="I124" s="10" t="str">
        <f>$A$13</f>
        <v>B3</v>
      </c>
      <c r="J124" s="10" t="str">
        <f>$A$14</f>
        <v>B4</v>
      </c>
      <c r="K124" s="10" t="str">
        <f>$A$15</f>
        <v>B5</v>
      </c>
      <c r="L124" s="10" t="str">
        <f>$A$16</f>
        <v>C1</v>
      </c>
      <c r="M124" s="10" t="str">
        <f>$A$17</f>
        <v>C2</v>
      </c>
      <c r="N124" s="10" t="str">
        <f>$A$18</f>
        <v>C3</v>
      </c>
      <c r="O124" s="10" t="str">
        <f>$A$19</f>
        <v>C4</v>
      </c>
      <c r="P124" s="10" t="str">
        <f>$A$20</f>
        <v>C5</v>
      </c>
      <c r="Q124" s="10" t="str">
        <f>$A$21</f>
        <v>D1</v>
      </c>
      <c r="R124" s="10" t="str">
        <f>$A$22</f>
        <v>D2</v>
      </c>
      <c r="S124" s="10" t="str">
        <f>$A$23</f>
        <v>D3</v>
      </c>
      <c r="T124" s="10" t="str">
        <f>$A$24</f>
        <v>D4</v>
      </c>
      <c r="U124" s="10" t="str">
        <f>$A$25</f>
        <v>D5</v>
      </c>
    </row>
    <row r="125" spans="1:22" x14ac:dyDescent="0.4">
      <c r="A125" s="41" t="str">
        <f>$A$6</f>
        <v>A1</v>
      </c>
      <c r="B125" s="48">
        <f>0.5*($G$6-$G$6)^2</f>
        <v>0</v>
      </c>
      <c r="C125" s="48">
        <f>0.5*($G$6-$G$7)^2</f>
        <v>6.3281250000000802E-3</v>
      </c>
      <c r="D125" s="48">
        <f>0.5*($G$6-$G$8)^2</f>
        <v>2.5312499999999918E-2</v>
      </c>
      <c r="E125" s="48">
        <f>0.5*($G$6-$G$9)^2</f>
        <v>5.6953125000000118E-2</v>
      </c>
      <c r="F125" s="48">
        <f>0.5*($G$6-$G$10)^2</f>
        <v>0.10125000000000008</v>
      </c>
      <c r="G125" s="48">
        <f>0.5*($G$6-$G$11)^2</f>
        <v>7.6049999999999535E-2</v>
      </c>
      <c r="H125" s="48">
        <f>0.5*($G$6-$G$12)^2</f>
        <v>0.12625312499999974</v>
      </c>
      <c r="I125" s="48">
        <f>0.5*($G$6-$G$13)^2</f>
        <v>0.18911249999999957</v>
      </c>
      <c r="J125" s="48">
        <f>0.5*($G$6-$G$14)^2</f>
        <v>0.26462812500000005</v>
      </c>
      <c r="K125" s="48">
        <f>0.5*($G$6-$G$15)^2</f>
        <v>5.7799999999999949E-2</v>
      </c>
      <c r="L125" s="48">
        <f>0.5*($G$6-$G$16)^2</f>
        <v>0.30419999999999953</v>
      </c>
      <c r="M125" s="48">
        <f>0.5*($G$6-$G$17)^2</f>
        <v>0.39827812500000004</v>
      </c>
      <c r="N125" s="48">
        <f>0.5*($G$6-$G$18)^2</f>
        <v>0.50501249999999898</v>
      </c>
      <c r="O125" s="48">
        <f>0.5*($G$6-$G$19)^2</f>
        <v>0.62440312499999973</v>
      </c>
      <c r="P125" s="48">
        <f>0.5*($G$6-$G$20)^2</f>
        <v>0.26644999999999969</v>
      </c>
      <c r="Q125" s="48">
        <f>0.5*($G$6-$G$21)^2</f>
        <v>1.4449999999999987E-2</v>
      </c>
      <c r="R125" s="48">
        <f>0.5*($G$6-$G$22)^2</f>
        <v>3.9903125000000178E-2</v>
      </c>
      <c r="S125" s="48">
        <f>0.5*($G$6-$G$23)^2</f>
        <v>7.8012499999999832E-2</v>
      </c>
      <c r="T125" s="48">
        <f>0.5*($G$6-$G$24)^2</f>
        <v>2.812500000000213E-5</v>
      </c>
      <c r="U125" s="48">
        <f>0.5*($G$6-$G$25)^2</f>
        <v>7.2199999999999959E-2</v>
      </c>
    </row>
    <row r="126" spans="1:22" x14ac:dyDescent="0.4">
      <c r="A126" s="41" t="str">
        <f>$A$7</f>
        <v>A2</v>
      </c>
      <c r="B126" s="48">
        <f>0.5*($G$7-$G$6)^2</f>
        <v>6.3281250000000802E-3</v>
      </c>
      <c r="C126" s="48">
        <f>0.5*($G$7-$G$7)^2</f>
        <v>0</v>
      </c>
      <c r="D126" s="48">
        <f>0.5*($G$7-$G$8)^2</f>
        <v>6.3281249999998799E-3</v>
      </c>
      <c r="E126" s="48">
        <f>0.5*($G$7-$G$9)^2</f>
        <v>2.5312499999999918E-2</v>
      </c>
      <c r="F126" s="48">
        <f>0.5*($G$7-$G$10)^2</f>
        <v>5.695312499999982E-2</v>
      </c>
      <c r="G126" s="48">
        <f>0.5*($G$7-$G$11)^2</f>
        <v>3.8503124999999465E-2</v>
      </c>
      <c r="H126" s="48">
        <f>0.5*($G$7-$G$12)^2</f>
        <v>7.6049999999999535E-2</v>
      </c>
      <c r="I126" s="48">
        <f>0.5*($G$7-$G$13)^2</f>
        <v>0.1262531249999993</v>
      </c>
      <c r="J126" s="48">
        <f>0.5*($G$7-$G$14)^2</f>
        <v>0.18911249999999957</v>
      </c>
      <c r="K126" s="48">
        <f>0.5*($G$7-$G$15)^2</f>
        <v>2.5878124999999808E-2</v>
      </c>
      <c r="L126" s="48">
        <f>0.5*($G$7-$G$16)^2</f>
        <v>0.22277812499999911</v>
      </c>
      <c r="M126" s="48">
        <f>0.5*($G$7-$G$17)^2</f>
        <v>0.30419999999999953</v>
      </c>
      <c r="N126" s="48">
        <f>0.5*($G$7-$G$18)^2</f>
        <v>0.39827812499999848</v>
      </c>
      <c r="O126" s="48">
        <f>0.5*($G$7-$G$19)^2</f>
        <v>0.50501249999999898</v>
      </c>
      <c r="P126" s="48">
        <f>0.5*($G$7-$G$20)^2</f>
        <v>0.19065312499999928</v>
      </c>
      <c r="Q126" s="48">
        <f>0.5*($G$7-$G$21)^2</f>
        <v>1.653124999999955E-3</v>
      </c>
      <c r="R126" s="48">
        <f>0.5*($G$7-$G$22)^2</f>
        <v>1.4449999999999987E-2</v>
      </c>
      <c r="S126" s="48">
        <f>0.5*($G$7-$G$23)^2</f>
        <v>3.9903124999999678E-2</v>
      </c>
      <c r="T126" s="48">
        <f>0.5*($G$7-$G$24)^2</f>
        <v>5.5125000000000451E-3</v>
      </c>
      <c r="U126" s="48">
        <f>0.5*($G$7-$G$25)^2</f>
        <v>0.12127812500000029</v>
      </c>
    </row>
    <row r="127" spans="1:22" x14ac:dyDescent="0.4">
      <c r="A127" s="41" t="str">
        <f>$A$8</f>
        <v>A3</v>
      </c>
      <c r="B127" s="48">
        <f>0.5*($G$8-$G$6)^2</f>
        <v>2.5312499999999918E-2</v>
      </c>
      <c r="C127" s="48">
        <f>0.5*($G$8-$G$7)^2</f>
        <v>6.3281249999998799E-3</v>
      </c>
      <c r="D127" s="48">
        <f>0.5*($G$8-$G$8)^2</f>
        <v>0</v>
      </c>
      <c r="E127" s="48">
        <f>0.5*($G$8-$G$9)^2</f>
        <v>6.3281250000000802E-3</v>
      </c>
      <c r="F127" s="48">
        <f>0.5*($G$8-$G$10)^2</f>
        <v>2.531250000000012E-2</v>
      </c>
      <c r="G127" s="48">
        <f>0.5*($G$8-$G$11)^2</f>
        <v>1.3612499999999859E-2</v>
      </c>
      <c r="H127" s="48">
        <f>0.5*($G$8-$G$12)^2</f>
        <v>3.8503124999999958E-2</v>
      </c>
      <c r="I127" s="48">
        <f>0.5*($G$8-$G$13)^2</f>
        <v>7.6049999999999882E-2</v>
      </c>
      <c r="J127" s="48">
        <f>0.5*($G$8-$G$14)^2</f>
        <v>0.12625312500000019</v>
      </c>
      <c r="K127" s="48">
        <f>0.5*($G$8-$G$15)^2</f>
        <v>6.6125000000000246E-3</v>
      </c>
      <c r="L127" s="48">
        <f>0.5*($G$8-$G$16)^2</f>
        <v>0.15401249999999983</v>
      </c>
      <c r="M127" s="48">
        <f>0.5*($G$8-$G$17)^2</f>
        <v>0.22277812500000027</v>
      </c>
      <c r="N127" s="48">
        <f>0.5*($G$8-$G$18)^2</f>
        <v>0.30419999999999953</v>
      </c>
      <c r="O127" s="48">
        <f>0.5*($G$8-$G$19)^2</f>
        <v>0.39827812500000004</v>
      </c>
      <c r="P127" s="48">
        <f>0.5*($G$8-$G$20)^2</f>
        <v>0.12751249999999995</v>
      </c>
      <c r="Q127" s="48">
        <f>0.5*($G$8-$G$21)^2</f>
        <v>1.5124999999999843E-3</v>
      </c>
      <c r="R127" s="48">
        <f>0.5*($G$8-$G$22)^2</f>
        <v>1.6531250000000571E-3</v>
      </c>
      <c r="S127" s="48">
        <f>0.5*($G$8-$G$23)^2</f>
        <v>1.4449999999999987E-2</v>
      </c>
      <c r="T127" s="48">
        <f>0.5*($G$8-$G$24)^2</f>
        <v>2.3653124999999862E-2</v>
      </c>
      <c r="U127" s="48">
        <f>0.5*($G$8-$G$25)^2</f>
        <v>0.18301249999999972</v>
      </c>
    </row>
    <row r="128" spans="1:22" x14ac:dyDescent="0.4">
      <c r="A128" s="41" t="str">
        <f>$A$9</f>
        <v>A4</v>
      </c>
      <c r="B128" s="48">
        <f>0.5*($G$9-$G$6)^2</f>
        <v>5.6953125000000118E-2</v>
      </c>
      <c r="C128" s="48">
        <f>0.5*($G$9-$G$7)^2</f>
        <v>2.5312499999999918E-2</v>
      </c>
      <c r="D128" s="48">
        <f>0.5*($G$9-$G$8)^2</f>
        <v>6.3281250000000802E-3</v>
      </c>
      <c r="E128" s="48">
        <f>0.5*($G$9-$G$9)^2</f>
        <v>0</v>
      </c>
      <c r="F128" s="48">
        <f>0.5*($G$9-$G$10)^2</f>
        <v>6.3281249999999796E-3</v>
      </c>
      <c r="G128" s="48">
        <f>0.5*($G$9-$G$11)^2</f>
        <v>1.3781249999999178E-3</v>
      </c>
      <c r="H128" s="48">
        <f>0.5*($G$9-$G$12)^2</f>
        <v>1.3612499999999859E-2</v>
      </c>
      <c r="I128" s="48">
        <f>0.5*($G$9-$G$13)^2</f>
        <v>3.8503124999999715E-2</v>
      </c>
      <c r="J128" s="48">
        <f>0.5*($G$9-$G$14)^2</f>
        <v>7.6049999999999882E-2</v>
      </c>
      <c r="K128" s="48">
        <f>0.5*($G$9-$G$15)^2</f>
        <v>3.1249999999987567E-6</v>
      </c>
      <c r="L128" s="48">
        <f>0.5*($G$9-$G$16)^2</f>
        <v>9.7903124999999563E-2</v>
      </c>
      <c r="M128" s="48">
        <f>0.5*($G$9-$G$17)^2</f>
        <v>0.15401249999999983</v>
      </c>
      <c r="N128" s="48">
        <f>0.5*($G$9-$G$18)^2</f>
        <v>0.22277812499999911</v>
      </c>
      <c r="O128" s="48">
        <f>0.5*($G$9-$G$19)^2</f>
        <v>0.30419999999999953</v>
      </c>
      <c r="P128" s="48">
        <f>0.5*($G$9-$G$20)^2</f>
        <v>7.7028124999999684E-2</v>
      </c>
      <c r="Q128" s="48">
        <f>0.5*($G$9-$G$21)^2</f>
        <v>1.4028125000000072E-2</v>
      </c>
      <c r="R128" s="48">
        <f>0.5*($G$9-$G$22)^2</f>
        <v>1.5124999999999843E-3</v>
      </c>
      <c r="S128" s="48">
        <f>0.5*($G$9-$G$23)^2</f>
        <v>1.653124999999955E-3</v>
      </c>
      <c r="T128" s="48">
        <f>0.5*($G$9-$G$24)^2</f>
        <v>5.4450000000000026E-2</v>
      </c>
      <c r="U128" s="48">
        <f>0.5*($G$9-$G$25)^2</f>
        <v>0.25740312500000018</v>
      </c>
    </row>
    <row r="129" spans="1:21" x14ac:dyDescent="0.4">
      <c r="A129" s="41" t="str">
        <f>$A$10</f>
        <v>A5</v>
      </c>
      <c r="B129" s="48">
        <f>0.5*($G$10-$G$6)^2</f>
        <v>0.10125000000000008</v>
      </c>
      <c r="C129" s="48">
        <f>0.5*($G$10-$G$7)^2</f>
        <v>5.695312499999982E-2</v>
      </c>
      <c r="D129" s="48">
        <f>0.5*($G$10-$G$8)^2</f>
        <v>2.531250000000012E-2</v>
      </c>
      <c r="E129" s="48">
        <f>0.5*($G$10-$G$9)^2</f>
        <v>6.3281249999999796E-3</v>
      </c>
      <c r="F129" s="48">
        <f>0.5*($G$10-$G$10)^2</f>
        <v>0</v>
      </c>
      <c r="G129" s="48">
        <f>0.5*($G$10-$G$11)^2</f>
        <v>1.8000000000000832E-3</v>
      </c>
      <c r="H129" s="48">
        <f>0.5*($G$10-$G$12)^2</f>
        <v>1.3781249999999647E-3</v>
      </c>
      <c r="I129" s="48">
        <f>0.5*($G$10-$G$13)^2</f>
        <v>1.3612499999999859E-2</v>
      </c>
      <c r="J129" s="48">
        <f>0.5*($G$10-$G$14)^2</f>
        <v>3.8503124999999958E-2</v>
      </c>
      <c r="K129" s="48">
        <f>0.5*($G$10-$G$15)^2</f>
        <v>6.0500000000000354E-3</v>
      </c>
      <c r="L129" s="48">
        <f>0.5*($G$10-$G$16)^2</f>
        <v>5.4449999999999728E-2</v>
      </c>
      <c r="M129" s="48">
        <f>0.5*($G$10-$G$17)^2</f>
        <v>9.7903124999999952E-2</v>
      </c>
      <c r="N129" s="48">
        <f>0.5*($G$10-$G$18)^2</f>
        <v>0.15401249999999936</v>
      </c>
      <c r="O129" s="48">
        <f>0.5*($G$10-$G$19)^2</f>
        <v>0.22277812499999969</v>
      </c>
      <c r="P129" s="48">
        <f>0.5*($G$10-$G$20)^2</f>
        <v>3.9199999999999818E-2</v>
      </c>
      <c r="Q129" s="48">
        <f>0.5*($G$10-$G$21)^2</f>
        <v>3.9200000000000068E-2</v>
      </c>
      <c r="R129" s="48">
        <f>0.5*($G$10-$G$22)^2</f>
        <v>1.4028124999999923E-2</v>
      </c>
      <c r="S129" s="48">
        <f>0.5*($G$10-$G$23)^2</f>
        <v>1.5125000000000331E-3</v>
      </c>
      <c r="T129" s="48">
        <f>0.5*($G$10-$G$24)^2</f>
        <v>9.7903124999999952E-2</v>
      </c>
      <c r="U129" s="48">
        <f>0.5*($G$10-$G$25)^2</f>
        <v>0.34445000000000003</v>
      </c>
    </row>
    <row r="130" spans="1:21" x14ac:dyDescent="0.4">
      <c r="A130" s="41" t="str">
        <f>$A$11</f>
        <v>B1</v>
      </c>
      <c r="B130" s="48">
        <f>0.5*($G$11-$G$6)^2</f>
        <v>7.6049999999999535E-2</v>
      </c>
      <c r="C130" s="48">
        <f>0.5*($G$11-$G$7)^2</f>
        <v>3.8503124999999465E-2</v>
      </c>
      <c r="D130" s="48">
        <f>0.5*($G$11-$G$8)^2</f>
        <v>1.3612499999999859E-2</v>
      </c>
      <c r="E130" s="48">
        <f>0.5*($G$11-$G$9)^2</f>
        <v>1.3781249999999178E-3</v>
      </c>
      <c r="F130" s="48">
        <f>0.5*($G$11-$G$10)^2</f>
        <v>1.8000000000000832E-3</v>
      </c>
      <c r="G130" s="48">
        <f>0.5*($G$11-$G$11)^2</f>
        <v>0</v>
      </c>
      <c r="H130" s="48">
        <f>0.5*($G$11-$G$12)^2</f>
        <v>6.3281250000000802E-3</v>
      </c>
      <c r="I130" s="48">
        <f>0.5*($G$11-$G$13)^2</f>
        <v>2.531250000000012E-2</v>
      </c>
      <c r="J130" s="48">
        <f>0.5*($G$11-$G$14)^2</f>
        <v>5.6953125000000417E-2</v>
      </c>
      <c r="K130" s="48">
        <f>0.5*($G$11-$G$15)^2</f>
        <v>1.2499999999999467E-3</v>
      </c>
      <c r="L130" s="48">
        <f>0.5*($G$11-$G$16)^2</f>
        <v>7.6050000000000229E-2</v>
      </c>
      <c r="M130" s="48">
        <f>0.5*($G$11-$G$17)^2</f>
        <v>0.12625312500000063</v>
      </c>
      <c r="N130" s="48">
        <f>0.5*($G$11-$G$18)^2</f>
        <v>0.18911250000000013</v>
      </c>
      <c r="O130" s="48">
        <f>0.5*($G$11-$G$19)^2</f>
        <v>0.26462812500000066</v>
      </c>
      <c r="P130" s="48">
        <f>0.5*($G$11-$G$20)^2</f>
        <v>5.7800000000000254E-2</v>
      </c>
      <c r="Q130" s="48">
        <f>0.5*($G$11-$G$21)^2</f>
        <v>2.4199999999999749E-2</v>
      </c>
      <c r="R130" s="48">
        <f>0.5*($G$11-$G$22)^2</f>
        <v>5.7781249999998016E-3</v>
      </c>
      <c r="S130" s="48">
        <f>0.5*($G$11-$G$23)^2</f>
        <v>1.2500000000003909E-5</v>
      </c>
      <c r="T130" s="48">
        <f>0.5*($G$11-$G$24)^2</f>
        <v>7.315312499999943E-2</v>
      </c>
      <c r="U130" s="48">
        <f>0.5*($G$11-$G$25)^2</f>
        <v>0.29644999999999899</v>
      </c>
    </row>
    <row r="131" spans="1:21" x14ac:dyDescent="0.4">
      <c r="A131" s="41" t="str">
        <f>$A$12</f>
        <v>B2</v>
      </c>
      <c r="B131" s="48">
        <f>0.5*($G$12-$G$6)^2</f>
        <v>0.12625312499999974</v>
      </c>
      <c r="C131" s="48">
        <f>0.5*($G$12-$G$7)^2</f>
        <v>7.6049999999999535E-2</v>
      </c>
      <c r="D131" s="48">
        <f>0.5*($G$12-$G$8)^2</f>
        <v>3.8503124999999958E-2</v>
      </c>
      <c r="E131" s="48">
        <f>0.5*($G$12-$G$9)^2</f>
        <v>1.3612499999999859E-2</v>
      </c>
      <c r="F131" s="48">
        <f>0.5*($G$12-$G$10)^2</f>
        <v>1.3781249999999647E-3</v>
      </c>
      <c r="G131" s="48">
        <f>0.5*($G$12-$G$11)^2</f>
        <v>6.3281250000000802E-3</v>
      </c>
      <c r="H131" s="48">
        <f>0.5*($G$12-$G$12)^2</f>
        <v>0</v>
      </c>
      <c r="I131" s="48">
        <f>0.5*($G$12-$G$13)^2</f>
        <v>6.3281249999999796E-3</v>
      </c>
      <c r="J131" s="48">
        <f>0.5*($G$12-$G$14)^2</f>
        <v>2.531250000000012E-2</v>
      </c>
      <c r="K131" s="48">
        <f>0.5*($G$12-$G$15)^2</f>
        <v>1.3203124999999942E-2</v>
      </c>
      <c r="L131" s="48">
        <f>0.5*($G$12-$G$16)^2</f>
        <v>3.8503124999999958E-2</v>
      </c>
      <c r="M131" s="48">
        <f>0.5*($G$12-$G$17)^2</f>
        <v>7.6050000000000229E-2</v>
      </c>
      <c r="N131" s="48">
        <f>0.5*($G$12-$G$18)^2</f>
        <v>0.12625312499999974</v>
      </c>
      <c r="O131" s="48">
        <f>0.5*($G$12-$G$19)^2</f>
        <v>0.18911250000000013</v>
      </c>
      <c r="P131" s="48">
        <f>0.5*($G$12-$G$20)^2</f>
        <v>2.5878125000000009E-2</v>
      </c>
      <c r="Q131" s="48">
        <f>0.5*($G$12-$G$21)^2</f>
        <v>5.5278124999999859E-2</v>
      </c>
      <c r="R131" s="48">
        <f>0.5*($G$12-$G$22)^2</f>
        <v>2.4199999999999749E-2</v>
      </c>
      <c r="S131" s="48">
        <f>0.5*($G$12-$G$23)^2</f>
        <v>5.7781249999999925E-3</v>
      </c>
      <c r="T131" s="48">
        <f>0.5*($G$12-$G$24)^2</f>
        <v>0.12251249999999961</v>
      </c>
      <c r="U131" s="48">
        <f>0.5*($G$12-$G$25)^2</f>
        <v>0.38940312499999946</v>
      </c>
    </row>
    <row r="132" spans="1:21" x14ac:dyDescent="0.4">
      <c r="A132" s="41" t="str">
        <f>$A$13</f>
        <v>B3</v>
      </c>
      <c r="B132" s="48">
        <f>0.5*($G$13-$G$6)^2</f>
        <v>0.18911249999999957</v>
      </c>
      <c r="C132" s="48">
        <f>0.5*($G$13-$G$7)^2</f>
        <v>0.1262531249999993</v>
      </c>
      <c r="D132" s="48">
        <f>0.5*($G$13-$G$8)^2</f>
        <v>7.6049999999999882E-2</v>
      </c>
      <c r="E132" s="48">
        <f>0.5*($G$13-$G$9)^2</f>
        <v>3.8503124999999715E-2</v>
      </c>
      <c r="F132" s="48">
        <f>0.5*($G$13-$G$10)^2</f>
        <v>1.3612499999999859E-2</v>
      </c>
      <c r="G132" s="48">
        <f>0.5*($G$13-$G$11)^2</f>
        <v>2.531250000000012E-2</v>
      </c>
      <c r="H132" s="48">
        <f>0.5*($G$13-$G$12)^2</f>
        <v>6.3281249999999796E-3</v>
      </c>
      <c r="I132" s="48">
        <f>0.5*($G$13-$G$13)^2</f>
        <v>0</v>
      </c>
      <c r="J132" s="48">
        <f>0.5*($G$13-$G$14)^2</f>
        <v>6.3281250000000802E-3</v>
      </c>
      <c r="K132" s="48">
        <f>0.5*($G$13-$G$15)^2</f>
        <v>3.7812499999999853E-2</v>
      </c>
      <c r="L132" s="48">
        <f>0.5*($G$13-$G$16)^2</f>
        <v>1.3612500000000007E-2</v>
      </c>
      <c r="M132" s="48">
        <f>0.5*($G$13-$G$17)^2</f>
        <v>3.8503125000000207E-2</v>
      </c>
      <c r="N132" s="48">
        <f>0.5*($G$13-$G$18)^2</f>
        <v>7.6049999999999882E-2</v>
      </c>
      <c r="O132" s="48">
        <f>0.5*($G$13-$G$19)^2</f>
        <v>0.12625312500000019</v>
      </c>
      <c r="P132" s="48">
        <f>0.5*($G$13-$G$20)^2</f>
        <v>6.6125000000000246E-3</v>
      </c>
      <c r="Q132" s="48">
        <f>0.5*($G$13-$G$21)^2</f>
        <v>9.9012499999999726E-2</v>
      </c>
      <c r="R132" s="48">
        <f>0.5*($G$13-$G$22)^2</f>
        <v>5.527812499999956E-2</v>
      </c>
      <c r="S132" s="48">
        <f>0.5*($G$13-$G$23)^2</f>
        <v>2.4199999999999944E-2</v>
      </c>
      <c r="T132" s="48">
        <f>0.5*($G$13-$G$24)^2</f>
        <v>0.1845281249999994</v>
      </c>
      <c r="U132" s="48">
        <f>0.5*($G$13-$G$25)^2</f>
        <v>0.49501249999999924</v>
      </c>
    </row>
    <row r="133" spans="1:21" x14ac:dyDescent="0.4">
      <c r="A133" s="41" t="str">
        <f>$A$14</f>
        <v>B4</v>
      </c>
      <c r="B133" s="48">
        <f>0.5*($G$14-$G$6)^2</f>
        <v>0.26462812500000005</v>
      </c>
      <c r="C133" s="48">
        <f>0.5*($G$14-$G$7)^2</f>
        <v>0.18911249999999957</v>
      </c>
      <c r="D133" s="48">
        <f>0.5*($G$14-$G$8)^2</f>
        <v>0.12625312500000019</v>
      </c>
      <c r="E133" s="48">
        <f>0.5*($G$14-$G$9)^2</f>
        <v>7.6049999999999882E-2</v>
      </c>
      <c r="F133" s="48">
        <f>0.5*($G$14-$G$10)^2</f>
        <v>3.8503124999999958E-2</v>
      </c>
      <c r="G133" s="48">
        <f>0.5*($G$14-$G$11)^2</f>
        <v>5.6953125000000417E-2</v>
      </c>
      <c r="H133" s="48">
        <f>0.5*($G$14-$G$12)^2</f>
        <v>2.531250000000012E-2</v>
      </c>
      <c r="I133" s="48">
        <f>0.5*($G$14-$G$13)^2</f>
        <v>6.3281250000000802E-3</v>
      </c>
      <c r="J133" s="48">
        <f>0.5*($G$14-$G$14)^2</f>
        <v>0</v>
      </c>
      <c r="K133" s="48">
        <f>0.5*($G$14-$G$15)^2</f>
        <v>7.5078125000000065E-2</v>
      </c>
      <c r="L133" s="48">
        <f>0.5*($G$14-$G$16)^2</f>
        <v>1.3781249999999647E-3</v>
      </c>
      <c r="M133" s="48">
        <f>0.5*($G$14-$G$17)^2</f>
        <v>1.3612500000000007E-2</v>
      </c>
      <c r="N133" s="48">
        <f>0.5*($G$14-$G$18)^2</f>
        <v>3.8503124999999715E-2</v>
      </c>
      <c r="O133" s="48">
        <f>0.5*($G$14-$G$19)^2</f>
        <v>7.6049999999999882E-2</v>
      </c>
      <c r="P133" s="48">
        <f>0.5*($G$14-$G$20)^2</f>
        <v>3.1249999999987567E-6</v>
      </c>
      <c r="Q133" s="48">
        <f>0.5*($G$14-$G$21)^2</f>
        <v>0.15540312500000006</v>
      </c>
      <c r="R133" s="48">
        <f>0.5*($G$14-$G$22)^2</f>
        <v>9.9012499999999726E-2</v>
      </c>
      <c r="S133" s="48">
        <f>0.5*($G$14-$G$23)^2</f>
        <v>5.5278125000000157E-2</v>
      </c>
      <c r="T133" s="48">
        <f>0.5*($G$14-$G$24)^2</f>
        <v>0.25919999999999982</v>
      </c>
      <c r="U133" s="48">
        <f>0.5*($G$14-$G$25)^2</f>
        <v>0.6132781249999999</v>
      </c>
    </row>
    <row r="134" spans="1:21" x14ac:dyDescent="0.4">
      <c r="A134" s="41" t="str">
        <f>$A$15</f>
        <v>B5</v>
      </c>
      <c r="B134" s="48">
        <f>0.5*($G$15-$G$6)^2</f>
        <v>5.7799999999999949E-2</v>
      </c>
      <c r="C134" s="48">
        <f>0.5*($G$15-$G$7)^2</f>
        <v>2.5878124999999808E-2</v>
      </c>
      <c r="D134" s="48">
        <f>0.5*($G$15-$G$8)^2</f>
        <v>6.6125000000000246E-3</v>
      </c>
      <c r="E134" s="48">
        <f>0.5*($G$15-$G$9)^2</f>
        <v>3.1249999999987567E-6</v>
      </c>
      <c r="F134" s="48">
        <f>0.5*($G$15-$G$10)^2</f>
        <v>6.0500000000000354E-3</v>
      </c>
      <c r="G134" s="48">
        <f>0.5*($G$15-$G$11)^2</f>
        <v>1.2499999999999467E-3</v>
      </c>
      <c r="H134" s="48">
        <f>0.5*($G$15-$G$12)^2</f>
        <v>1.3203124999999942E-2</v>
      </c>
      <c r="I134" s="48">
        <f>0.5*($G$15-$G$13)^2</f>
        <v>3.7812499999999853E-2</v>
      </c>
      <c r="J134" s="48">
        <f>0.5*($G$15-$G$14)^2</f>
        <v>7.5078125000000065E-2</v>
      </c>
      <c r="K134" s="48">
        <f>0.5*($G$15-$G$15)^2</f>
        <v>0</v>
      </c>
      <c r="L134" s="48">
        <f>0.5*($G$15-$G$16)^2</f>
        <v>9.6799999999999775E-2</v>
      </c>
      <c r="M134" s="48">
        <f>0.5*($G$15-$G$17)^2</f>
        <v>0.15262812500000011</v>
      </c>
      <c r="N134" s="48">
        <f>0.5*($G$15-$G$18)^2</f>
        <v>0.22111249999999943</v>
      </c>
      <c r="O134" s="48">
        <f>0.5*($G$15-$G$19)^2</f>
        <v>0.3022531249999999</v>
      </c>
      <c r="P134" s="48">
        <f>0.5*($G$15-$G$20)^2</f>
        <v>7.6049999999999882E-2</v>
      </c>
      <c r="Q134" s="48">
        <f>0.5*($G$15-$G$21)^2</f>
        <v>1.4449999999999987E-2</v>
      </c>
      <c r="R134" s="48">
        <f>0.5*($G$15-$G$22)^2</f>
        <v>1.653124999999955E-3</v>
      </c>
      <c r="S134" s="48">
        <f>0.5*($G$15-$G$23)^2</f>
        <v>1.5124999999999843E-3</v>
      </c>
      <c r="T134" s="48">
        <f>0.5*($G$15-$G$24)^2</f>
        <v>5.5278124999999859E-2</v>
      </c>
      <c r="U134" s="48">
        <f>0.5*($G$15-$G$25)^2</f>
        <v>0.25919999999999982</v>
      </c>
    </row>
    <row r="135" spans="1:21" x14ac:dyDescent="0.4">
      <c r="A135" s="41" t="str">
        <f>$A$16</f>
        <v>C1</v>
      </c>
      <c r="B135" s="48">
        <f>0.5*($G$16-$G$6)^2</f>
        <v>0.30419999999999953</v>
      </c>
      <c r="C135" s="48">
        <f>0.5*($G$16-$G$7)^2</f>
        <v>0.22277812499999911</v>
      </c>
      <c r="D135" s="48">
        <f>0.5*($G$16-$G$8)^2</f>
        <v>0.15401249999999983</v>
      </c>
      <c r="E135" s="48">
        <f>0.5*($G$16-$G$9)^2</f>
        <v>9.7903124999999563E-2</v>
      </c>
      <c r="F135" s="48">
        <f>0.5*($G$16-$G$10)^2</f>
        <v>5.4449999999999728E-2</v>
      </c>
      <c r="G135" s="48">
        <f>0.5*($G$16-$G$11)^2</f>
        <v>7.6050000000000229E-2</v>
      </c>
      <c r="H135" s="48">
        <f>0.5*($G$16-$G$12)^2</f>
        <v>3.8503124999999958E-2</v>
      </c>
      <c r="I135" s="48">
        <f>0.5*($G$16-$G$13)^2</f>
        <v>1.3612500000000007E-2</v>
      </c>
      <c r="J135" s="48">
        <f>0.5*($G$16-$G$14)^2</f>
        <v>1.3781249999999647E-3</v>
      </c>
      <c r="K135" s="48">
        <f>0.5*($G$16-$G$15)^2</f>
        <v>9.6799999999999775E-2</v>
      </c>
      <c r="L135" s="48">
        <f>0.5*($G$16-$G$16)^2</f>
        <v>0</v>
      </c>
      <c r="M135" s="48">
        <f>0.5*($G$16-$G$17)^2</f>
        <v>6.3281250000000802E-3</v>
      </c>
      <c r="N135" s="48">
        <f>0.5*($G$16-$G$18)^2</f>
        <v>2.5312499999999918E-2</v>
      </c>
      <c r="O135" s="48">
        <f>0.5*($G$16-$G$19)^2</f>
        <v>5.6953125000000118E-2</v>
      </c>
      <c r="P135" s="48">
        <f>0.5*($G$16-$G$20)^2</f>
        <v>1.2499999999999911E-3</v>
      </c>
      <c r="Q135" s="48">
        <f>0.5*($G$16-$G$21)^2</f>
        <v>0.18604999999999966</v>
      </c>
      <c r="R135" s="48">
        <f>0.5*($G$16-$G$22)^2</f>
        <v>0.12375312499999937</v>
      </c>
      <c r="S135" s="48">
        <f>0.5*($G$16-$G$23)^2</f>
        <v>7.4112499999999915E-2</v>
      </c>
      <c r="T135" s="48">
        <f>0.5*($G$16-$G$24)^2</f>
        <v>0.29837812499999927</v>
      </c>
      <c r="U135" s="48">
        <f>0.5*($G$16-$G$25)^2</f>
        <v>0.67279999999999918</v>
      </c>
    </row>
    <row r="136" spans="1:21" x14ac:dyDescent="0.4">
      <c r="A136" s="41" t="str">
        <f>$A$17</f>
        <v>C2</v>
      </c>
      <c r="B136" s="48">
        <f>0.5*($G$17-$G$6)^2</f>
        <v>0.39827812500000004</v>
      </c>
      <c r="C136" s="48">
        <f>0.5*($G$17-$G$7)^2</f>
        <v>0.30419999999999953</v>
      </c>
      <c r="D136" s="48">
        <f>0.5*($G$17-$G$8)^2</f>
        <v>0.22277812500000027</v>
      </c>
      <c r="E136" s="48">
        <f>0.5*($G$17-$G$9)^2</f>
        <v>0.15401249999999983</v>
      </c>
      <c r="F136" s="48">
        <f>0.5*($G$17-$G$10)^2</f>
        <v>9.7903124999999952E-2</v>
      </c>
      <c r="G136" s="48">
        <f>0.5*($G$17-$G$11)^2</f>
        <v>0.12625312500000063</v>
      </c>
      <c r="H136" s="48">
        <f>0.5*($G$17-$G$12)^2</f>
        <v>7.6050000000000229E-2</v>
      </c>
      <c r="I136" s="48">
        <f>0.5*($G$17-$G$13)^2</f>
        <v>3.8503125000000207E-2</v>
      </c>
      <c r="J136" s="48">
        <f>0.5*($G$17-$G$14)^2</f>
        <v>1.3612500000000007E-2</v>
      </c>
      <c r="K136" s="48">
        <f>0.5*($G$17-$G$15)^2</f>
        <v>0.15262812500000011</v>
      </c>
      <c r="L136" s="48">
        <f>0.5*($G$17-$G$16)^2</f>
        <v>6.3281250000000802E-3</v>
      </c>
      <c r="M136" s="48">
        <f>0.5*($G$17-$G$17)^2</f>
        <v>0</v>
      </c>
      <c r="N136" s="48">
        <f>0.5*($G$17-$G$18)^2</f>
        <v>6.3281249999998799E-3</v>
      </c>
      <c r="O136" s="48">
        <f>0.5*($G$17-$G$19)^2</f>
        <v>2.5312499999999918E-2</v>
      </c>
      <c r="P136" s="48">
        <f>0.5*($G$17-$G$20)^2</f>
        <v>1.3203125000000086E-2</v>
      </c>
      <c r="Q136" s="48">
        <f>0.5*($G$17-$G$21)^2</f>
        <v>0.26100312500000011</v>
      </c>
      <c r="R136" s="48">
        <f>0.5*($G$17-$G$22)^2</f>
        <v>0.18604999999999966</v>
      </c>
      <c r="S136" s="48">
        <f>0.5*($G$17-$G$23)^2</f>
        <v>0.12375312500000024</v>
      </c>
      <c r="T136" s="48">
        <f>0.5*($G$17-$G$24)^2</f>
        <v>0.39161249999999981</v>
      </c>
      <c r="U136" s="48">
        <f>0.5*($G$17-$G$25)^2</f>
        <v>0.80962812499999992</v>
      </c>
    </row>
    <row r="137" spans="1:21" x14ac:dyDescent="0.4">
      <c r="A137" s="41" t="str">
        <f>$A$18</f>
        <v>C3</v>
      </c>
      <c r="B137" s="48">
        <f>0.5*($G$18-$G$6)^2</f>
        <v>0.50501249999999898</v>
      </c>
      <c r="C137" s="48">
        <f>0.5*($G$18-$G$7)^2</f>
        <v>0.39827812499999848</v>
      </c>
      <c r="D137" s="48">
        <f>0.5*($G$18-$G$8)^2</f>
        <v>0.30419999999999953</v>
      </c>
      <c r="E137" s="48">
        <f>0.5*($G$18-$G$9)^2</f>
        <v>0.22277812499999911</v>
      </c>
      <c r="F137" s="48">
        <f>0.5*($G$18-$G$10)^2</f>
        <v>0.15401249999999936</v>
      </c>
      <c r="G137" s="48">
        <f>0.5*($G$18-$G$11)^2</f>
        <v>0.18911250000000013</v>
      </c>
      <c r="H137" s="48">
        <f>0.5*($G$18-$G$12)^2</f>
        <v>0.12625312499999974</v>
      </c>
      <c r="I137" s="48">
        <f>0.5*($G$18-$G$13)^2</f>
        <v>7.6049999999999882E-2</v>
      </c>
      <c r="J137" s="48">
        <f>0.5*($G$18-$G$14)^2</f>
        <v>3.8503124999999715E-2</v>
      </c>
      <c r="K137" s="48">
        <f>0.5*($G$18-$G$15)^2</f>
        <v>0.22111249999999943</v>
      </c>
      <c r="L137" s="48">
        <f>0.5*($G$18-$G$16)^2</f>
        <v>2.5312499999999918E-2</v>
      </c>
      <c r="M137" s="48">
        <f>0.5*($G$18-$G$17)^2</f>
        <v>6.3281249999998799E-3</v>
      </c>
      <c r="N137" s="48">
        <f>0.5*($G$18-$G$18)^2</f>
        <v>0</v>
      </c>
      <c r="O137" s="48">
        <f>0.5*($G$18-$G$19)^2</f>
        <v>6.3281250000000802E-3</v>
      </c>
      <c r="P137" s="48">
        <f>0.5*($G$18-$G$20)^2</f>
        <v>3.7812499999999853E-2</v>
      </c>
      <c r="Q137" s="48">
        <f>0.5*($G$18-$G$21)^2</f>
        <v>0.34861249999999921</v>
      </c>
      <c r="R137" s="48">
        <f>0.5*($G$18-$G$22)^2</f>
        <v>0.26100312499999884</v>
      </c>
      <c r="S137" s="48">
        <f>0.5*($G$18-$G$23)^2</f>
        <v>0.18604999999999966</v>
      </c>
      <c r="T137" s="48">
        <f>0.5*($G$18-$G$24)^2</f>
        <v>0.49750312499999871</v>
      </c>
      <c r="U137" s="48">
        <f>0.5*($G$18-$G$25)^2</f>
        <v>0.95911249999999848</v>
      </c>
    </row>
    <row r="138" spans="1:21" x14ac:dyDescent="0.4">
      <c r="A138" s="41" t="str">
        <f>$A$19</f>
        <v>C4</v>
      </c>
      <c r="B138" s="48">
        <f>0.5*($G$19-$G$6)^2</f>
        <v>0.62440312499999973</v>
      </c>
      <c r="C138" s="48">
        <f>0.5*($G$19-$G$7)^2</f>
        <v>0.50501249999999898</v>
      </c>
      <c r="D138" s="48">
        <f>0.5*($G$19-$G$8)^2</f>
        <v>0.39827812500000004</v>
      </c>
      <c r="E138" s="48">
        <f>0.5*($G$19-$G$9)^2</f>
        <v>0.30419999999999953</v>
      </c>
      <c r="F138" s="48">
        <f>0.5*($G$19-$G$10)^2</f>
        <v>0.22277812499999969</v>
      </c>
      <c r="G138" s="48">
        <f>0.5*($G$19-$G$11)^2</f>
        <v>0.26462812500000066</v>
      </c>
      <c r="H138" s="48">
        <f>0.5*($G$19-$G$12)^2</f>
        <v>0.18911250000000013</v>
      </c>
      <c r="I138" s="48">
        <f>0.5*($G$19-$G$13)^2</f>
        <v>0.12625312500000019</v>
      </c>
      <c r="J138" s="48">
        <f>0.5*($G$19-$G$14)^2</f>
        <v>7.6049999999999882E-2</v>
      </c>
      <c r="K138" s="48">
        <f>0.5*($G$19-$G$15)^2</f>
        <v>0.3022531249999999</v>
      </c>
      <c r="L138" s="48">
        <f>0.5*($G$19-$G$16)^2</f>
        <v>5.6953125000000118E-2</v>
      </c>
      <c r="M138" s="48">
        <f>0.5*($G$19-$G$17)^2</f>
        <v>2.5312499999999918E-2</v>
      </c>
      <c r="N138" s="48">
        <f>0.5*($G$19-$G$18)^2</f>
        <v>6.3281250000000802E-3</v>
      </c>
      <c r="O138" s="48">
        <f>0.5*($G$19-$G$19)^2</f>
        <v>0</v>
      </c>
      <c r="P138" s="48">
        <f>0.5*($G$19-$G$20)^2</f>
        <v>7.5078125000000065E-2</v>
      </c>
      <c r="Q138" s="48">
        <f>0.5*($G$19-$G$21)^2</f>
        <v>0.44887812499999979</v>
      </c>
      <c r="R138" s="48">
        <f>0.5*($G$19-$G$22)^2</f>
        <v>0.34861249999999921</v>
      </c>
      <c r="S138" s="48">
        <f>0.5*($G$19-$G$23)^2</f>
        <v>0.26100312500000011</v>
      </c>
      <c r="T138" s="48">
        <f>0.5*($G$19-$G$24)^2</f>
        <v>0.61604999999999932</v>
      </c>
      <c r="U138" s="48">
        <f>0.5*($G$19-$G$25)^2</f>
        <v>1.1212531249999995</v>
      </c>
    </row>
    <row r="139" spans="1:21" x14ac:dyDescent="0.4">
      <c r="A139" s="41" t="str">
        <f>$A$20</f>
        <v>C5</v>
      </c>
      <c r="B139" s="48">
        <f>0.5*($G$20-$G$6)^2</f>
        <v>0.26644999999999969</v>
      </c>
      <c r="C139" s="48">
        <f>0.5*($G$20-$G$7)^2</f>
        <v>0.19065312499999928</v>
      </c>
      <c r="D139" s="48">
        <f>0.5*($G$20-$G$8)^2</f>
        <v>0.12751249999999995</v>
      </c>
      <c r="E139" s="48">
        <f>0.5*($G$20-$G$9)^2</f>
        <v>7.7028124999999684E-2</v>
      </c>
      <c r="F139" s="48">
        <f>0.5*($G$20-$G$10)^2</f>
        <v>3.9199999999999818E-2</v>
      </c>
      <c r="G139" s="48">
        <f>0.5*($G$20-$G$11)^2</f>
        <v>5.7800000000000254E-2</v>
      </c>
      <c r="H139" s="48">
        <f>0.5*($G$20-$G$12)^2</f>
        <v>2.5878125000000009E-2</v>
      </c>
      <c r="I139" s="48">
        <f>0.5*($G$20-$G$13)^2</f>
        <v>6.6125000000000246E-3</v>
      </c>
      <c r="J139" s="48">
        <f>0.5*($G$20-$G$14)^2</f>
        <v>3.1249999999987567E-6</v>
      </c>
      <c r="K139" s="48">
        <f>0.5*($G$20-$G$15)^2</f>
        <v>7.6049999999999882E-2</v>
      </c>
      <c r="L139" s="48">
        <f>0.5*($G$20-$G$16)^2</f>
        <v>1.2499999999999911E-3</v>
      </c>
      <c r="M139" s="48">
        <f>0.5*($G$20-$G$17)^2</f>
        <v>1.3203125000000086E-2</v>
      </c>
      <c r="N139" s="48">
        <f>0.5*($G$20-$G$18)^2</f>
        <v>3.7812499999999853E-2</v>
      </c>
      <c r="O139" s="48">
        <f>0.5*($G$20-$G$19)^2</f>
        <v>7.5078125000000065E-2</v>
      </c>
      <c r="P139" s="48">
        <f>0.5*($G$20-$G$20)^2</f>
        <v>0</v>
      </c>
      <c r="Q139" s="48">
        <f>0.5*($G$20-$G$21)^2</f>
        <v>0.15679999999999977</v>
      </c>
      <c r="R139" s="48">
        <f>0.5*($G$20-$G$22)^2</f>
        <v>0.10012812499999951</v>
      </c>
      <c r="S139" s="48">
        <f>0.5*($G$20-$G$23)^2</f>
        <v>5.6112499999999989E-2</v>
      </c>
      <c r="T139" s="48">
        <f>0.5*($G$20-$G$24)^2</f>
        <v>0.26100312499999945</v>
      </c>
      <c r="U139" s="48">
        <f>0.5*($G$20-$G$25)^2</f>
        <v>0.61604999999999932</v>
      </c>
    </row>
    <row r="140" spans="1:21" x14ac:dyDescent="0.4">
      <c r="A140" s="41" t="str">
        <f>$A$21</f>
        <v>D1</v>
      </c>
      <c r="B140" s="48">
        <f>0.5*($G$21-$G$6)^2</f>
        <v>1.4449999999999987E-2</v>
      </c>
      <c r="C140" s="48">
        <f>0.5*($G$21-$G$7)^2</f>
        <v>1.653124999999955E-3</v>
      </c>
      <c r="D140" s="48">
        <f>0.5*($G$21-$G$8)^2</f>
        <v>1.5124999999999843E-3</v>
      </c>
      <c r="E140" s="48">
        <f>0.5*($G$21-$G$9)^2</f>
        <v>1.4028125000000072E-2</v>
      </c>
      <c r="F140" s="48">
        <f>0.5*($G$21-$G$10)^2</f>
        <v>3.9200000000000068E-2</v>
      </c>
      <c r="G140" s="48">
        <f>0.5*($G$21-$G$11)^2</f>
        <v>2.4199999999999749E-2</v>
      </c>
      <c r="H140" s="48">
        <f>0.5*($G$21-$G$12)^2</f>
        <v>5.5278124999999859E-2</v>
      </c>
      <c r="I140" s="48">
        <f>0.5*($G$21-$G$13)^2</f>
        <v>9.9012499999999726E-2</v>
      </c>
      <c r="J140" s="48">
        <f>0.5*($G$21-$G$14)^2</f>
        <v>0.15540312500000006</v>
      </c>
      <c r="K140" s="48">
        <f>0.5*($G$21-$G$15)^2</f>
        <v>1.4449999999999987E-2</v>
      </c>
      <c r="L140" s="48">
        <f>0.5*($G$21-$G$16)^2</f>
        <v>0.18604999999999966</v>
      </c>
      <c r="M140" s="48">
        <f>0.5*($G$21-$G$17)^2</f>
        <v>0.26100312500000011</v>
      </c>
      <c r="N140" s="48">
        <f>0.5*($G$21-$G$18)^2</f>
        <v>0.34861249999999921</v>
      </c>
      <c r="O140" s="48">
        <f>0.5*($G$21-$G$19)^2</f>
        <v>0.44887812499999979</v>
      </c>
      <c r="P140" s="48">
        <f>0.5*($G$21-$G$20)^2</f>
        <v>0.15679999999999977</v>
      </c>
      <c r="Q140" s="48">
        <f>0.5*($G$21-$G$21)^2</f>
        <v>0</v>
      </c>
      <c r="R140" s="48">
        <f>0.5*($G$21-$G$22)^2</f>
        <v>6.3281250000000802E-3</v>
      </c>
      <c r="S140" s="48">
        <f>0.5*($G$21-$G$23)^2</f>
        <v>2.5312499999999918E-2</v>
      </c>
      <c r="T140" s="48">
        <f>0.5*($G$21-$G$24)^2</f>
        <v>1.3203124999999942E-2</v>
      </c>
      <c r="U140" s="48">
        <f>0.5*($G$21-$G$25)^2</f>
        <v>0.15124999999999991</v>
      </c>
    </row>
    <row r="141" spans="1:21" x14ac:dyDescent="0.4">
      <c r="A141" s="41" t="str">
        <f>$A$22</f>
        <v>D2</v>
      </c>
      <c r="B141" s="48">
        <f>0.5*($G$22-$G$6)^2</f>
        <v>3.9903125000000178E-2</v>
      </c>
      <c r="C141" s="48">
        <f>0.5*($G$22-$G$7)^2</f>
        <v>1.4449999999999987E-2</v>
      </c>
      <c r="D141" s="48">
        <f>0.5*($G$22-$G$8)^2</f>
        <v>1.6531250000000571E-3</v>
      </c>
      <c r="E141" s="48">
        <f>0.5*($G$22-$G$9)^2</f>
        <v>1.5124999999999843E-3</v>
      </c>
      <c r="F141" s="48">
        <f>0.5*($G$22-$G$10)^2</f>
        <v>1.4028124999999923E-2</v>
      </c>
      <c r="G141" s="48">
        <f>0.5*($G$22-$G$11)^2</f>
        <v>5.7781249999998016E-3</v>
      </c>
      <c r="H141" s="48">
        <f>0.5*($G$22-$G$12)^2</f>
        <v>2.4199999999999749E-2</v>
      </c>
      <c r="I141" s="48">
        <f>0.5*($G$22-$G$13)^2</f>
        <v>5.527812499999956E-2</v>
      </c>
      <c r="J141" s="48">
        <f>0.5*($G$22-$G$14)^2</f>
        <v>9.9012499999999726E-2</v>
      </c>
      <c r="K141" s="48">
        <f>0.5*($G$22-$G$15)^2</f>
        <v>1.653124999999955E-3</v>
      </c>
      <c r="L141" s="48">
        <f>0.5*($G$22-$G$16)^2</f>
        <v>0.12375312499999937</v>
      </c>
      <c r="M141" s="48">
        <f>0.5*($G$22-$G$17)^2</f>
        <v>0.18604999999999966</v>
      </c>
      <c r="N141" s="48">
        <f>0.5*($G$22-$G$18)^2</f>
        <v>0.26100312499999884</v>
      </c>
      <c r="O141" s="48">
        <f>0.5*($G$22-$G$19)^2</f>
        <v>0.34861249999999921</v>
      </c>
      <c r="P141" s="48">
        <f>0.5*($G$22-$G$20)^2</f>
        <v>0.10012812499999951</v>
      </c>
      <c r="Q141" s="48">
        <f>0.5*($G$22-$G$21)^2</f>
        <v>6.3281250000000802E-3</v>
      </c>
      <c r="R141" s="48">
        <f>0.5*($G$22-$G$22)^2</f>
        <v>0</v>
      </c>
      <c r="S141" s="48">
        <f>0.5*($G$22-$G$23)^2</f>
        <v>6.3281249999998799E-3</v>
      </c>
      <c r="T141" s="48">
        <f>0.5*($G$22-$G$24)^2</f>
        <v>3.7812500000000096E-2</v>
      </c>
      <c r="U141" s="48">
        <f>0.5*($G$22-$G$25)^2</f>
        <v>0.21945312500000036</v>
      </c>
    </row>
    <row r="142" spans="1:21" x14ac:dyDescent="0.4">
      <c r="A142" s="41" t="str">
        <f>$A$23</f>
        <v>D3</v>
      </c>
      <c r="B142" s="48">
        <f>0.5*($G$23-$G$6)^2</f>
        <v>7.8012499999999832E-2</v>
      </c>
      <c r="C142" s="48">
        <f>0.5*($G$23-$G$7)^2</f>
        <v>3.9903124999999678E-2</v>
      </c>
      <c r="D142" s="48">
        <f>0.5*($G$23-$G$8)^2</f>
        <v>1.4449999999999987E-2</v>
      </c>
      <c r="E142" s="48">
        <f>0.5*($G$23-$G$9)^2</f>
        <v>1.653124999999955E-3</v>
      </c>
      <c r="F142" s="48">
        <f>0.5*($G$23-$G$10)^2</f>
        <v>1.5125000000000331E-3</v>
      </c>
      <c r="G142" s="48">
        <f>0.5*($G$23-$G$11)^2</f>
        <v>1.2500000000003909E-5</v>
      </c>
      <c r="H142" s="48">
        <f>0.5*($G$23-$G$12)^2</f>
        <v>5.7781249999999925E-3</v>
      </c>
      <c r="I142" s="48">
        <f>0.5*($G$23-$G$13)^2</f>
        <v>2.4199999999999944E-2</v>
      </c>
      <c r="J142" s="48">
        <f>0.5*($G$23-$G$14)^2</f>
        <v>5.5278125000000157E-2</v>
      </c>
      <c r="K142" s="48">
        <f>0.5*($G$23-$G$15)^2</f>
        <v>1.5124999999999843E-3</v>
      </c>
      <c r="L142" s="48">
        <f>0.5*($G$23-$G$16)^2</f>
        <v>7.4112499999999915E-2</v>
      </c>
      <c r="M142" s="48">
        <f>0.5*($G$23-$G$17)^2</f>
        <v>0.12375312500000024</v>
      </c>
      <c r="N142" s="48">
        <f>0.5*($G$23-$G$18)^2</f>
        <v>0.18604999999999966</v>
      </c>
      <c r="O142" s="48">
        <f>0.5*($G$23-$G$19)^2</f>
        <v>0.26100312500000011</v>
      </c>
      <c r="P142" s="48">
        <f>0.5*($G$23-$G$20)^2</f>
        <v>5.6112499999999989E-2</v>
      </c>
      <c r="Q142" s="48">
        <f>0.5*($G$23-$G$21)^2</f>
        <v>2.5312499999999918E-2</v>
      </c>
      <c r="R142" s="48">
        <f>0.5*($G$23-$G$22)^2</f>
        <v>6.3281249999998799E-3</v>
      </c>
      <c r="S142" s="48">
        <f>0.5*($G$23-$G$23)^2</f>
        <v>0</v>
      </c>
      <c r="T142" s="48">
        <f>0.5*($G$23-$G$24)^2</f>
        <v>7.5078124999999718E-2</v>
      </c>
      <c r="U142" s="48">
        <f>0.5*($G$23-$G$25)^2</f>
        <v>0.30031249999999959</v>
      </c>
    </row>
    <row r="143" spans="1:21" x14ac:dyDescent="0.4">
      <c r="A143" s="41" t="str">
        <f>$A$24</f>
        <v>D4</v>
      </c>
      <c r="B143" s="48">
        <f>0.5*($G$24-$G$6)^2</f>
        <v>2.812500000000213E-5</v>
      </c>
      <c r="C143" s="48">
        <f>0.5*($G$24-$G$7)^2</f>
        <v>5.5125000000000451E-3</v>
      </c>
      <c r="D143" s="48">
        <f>0.5*($G$24-$G$8)^2</f>
        <v>2.3653124999999862E-2</v>
      </c>
      <c r="E143" s="48">
        <f>0.5*($G$24-$G$9)^2</f>
        <v>5.4450000000000026E-2</v>
      </c>
      <c r="F143" s="48">
        <f>0.5*($G$24-$G$10)^2</f>
        <v>9.7903124999999952E-2</v>
      </c>
      <c r="G143" s="48">
        <f>0.5*($G$24-$G$11)^2</f>
        <v>7.315312499999943E-2</v>
      </c>
      <c r="H143" s="48">
        <f>0.5*($G$24-$G$12)^2</f>
        <v>0.12251249999999961</v>
      </c>
      <c r="I143" s="48">
        <f>0.5*($G$24-$G$13)^2</f>
        <v>0.1845281249999994</v>
      </c>
      <c r="J143" s="48">
        <f>0.5*($G$24-$G$14)^2</f>
        <v>0.25919999999999982</v>
      </c>
      <c r="K143" s="48">
        <f>0.5*($G$24-$G$15)^2</f>
        <v>5.5278124999999859E-2</v>
      </c>
      <c r="L143" s="48">
        <f>0.5*($G$24-$G$16)^2</f>
        <v>0.29837812499999927</v>
      </c>
      <c r="M143" s="48">
        <f>0.5*($G$24-$G$17)^2</f>
        <v>0.39161249999999981</v>
      </c>
      <c r="N143" s="48">
        <f>0.5*($G$24-$G$18)^2</f>
        <v>0.49750312499999871</v>
      </c>
      <c r="O143" s="48">
        <f>0.5*($G$24-$G$19)^2</f>
        <v>0.61604999999999932</v>
      </c>
      <c r="P143" s="48">
        <f>0.5*($G$24-$G$20)^2</f>
        <v>0.26100312499999945</v>
      </c>
      <c r="Q143" s="48">
        <f>0.5*($G$24-$G$21)^2</f>
        <v>1.3203124999999942E-2</v>
      </c>
      <c r="R143" s="48">
        <f>0.5*($G$24-$G$22)^2</f>
        <v>3.7812500000000096E-2</v>
      </c>
      <c r="S143" s="48">
        <f>0.5*($G$24-$G$23)^2</f>
        <v>7.5078124999999718E-2</v>
      </c>
      <c r="T143" s="48">
        <f>0.5*($G$24-$G$24)^2</f>
        <v>0</v>
      </c>
      <c r="U143" s="48">
        <f>0.5*($G$24-$G$25)^2</f>
        <v>7.5078125000000065E-2</v>
      </c>
    </row>
    <row r="144" spans="1:21" x14ac:dyDescent="0.4">
      <c r="A144" s="41" t="str">
        <f>$A$25</f>
        <v>D5</v>
      </c>
      <c r="B144" s="48">
        <f>0.5*($G$25-$G$6)^2</f>
        <v>7.2199999999999959E-2</v>
      </c>
      <c r="C144" s="48">
        <f>0.5*($G$25-$G$7)^2</f>
        <v>0.12127812500000029</v>
      </c>
      <c r="D144" s="48">
        <f>0.5*($G$25-$G$8)^2</f>
        <v>0.18301249999999972</v>
      </c>
      <c r="E144" s="48">
        <f>0.5*($G$25-$G$9)^2</f>
        <v>0.25740312500000018</v>
      </c>
      <c r="F144" s="48">
        <f>0.5*($G$25-$G$10)^2</f>
        <v>0.34445000000000003</v>
      </c>
      <c r="G144" s="48">
        <f>0.5*($G$25-$G$11)^2</f>
        <v>0.29644999999999899</v>
      </c>
      <c r="H144" s="48">
        <f>0.5*($G$25-$G$12)^2</f>
        <v>0.38940312499999946</v>
      </c>
      <c r="I144" s="48">
        <f>0.5*($G$25-$G$13)^2</f>
        <v>0.49501249999999924</v>
      </c>
      <c r="J144" s="48">
        <f>0.5*($G$25-$G$14)^2</f>
        <v>0.6132781249999999</v>
      </c>
      <c r="K144" s="48">
        <f>0.5*($G$25-$G$15)^2</f>
        <v>0.25919999999999982</v>
      </c>
      <c r="L144" s="48">
        <f>0.5*($G$25-$G$16)^2</f>
        <v>0.67279999999999918</v>
      </c>
      <c r="M144" s="48">
        <f>0.5*($G$25-$G$17)^2</f>
        <v>0.80962812499999992</v>
      </c>
      <c r="N144" s="48">
        <f>0.5*($G$25-$G$18)^2</f>
        <v>0.95911249999999848</v>
      </c>
      <c r="O144" s="48">
        <f>0.5*($G$25-$G$19)^2</f>
        <v>1.1212531249999995</v>
      </c>
      <c r="P144" s="48">
        <f>0.5*($G$25-$G$20)^2</f>
        <v>0.61604999999999932</v>
      </c>
      <c r="Q144" s="48">
        <f>0.5*($G$25-$G$21)^2</f>
        <v>0.15124999999999991</v>
      </c>
      <c r="R144" s="48">
        <f>0.5*($G$25-$G$22)^2</f>
        <v>0.21945312500000036</v>
      </c>
      <c r="S144" s="48">
        <f>0.5*($G$25-$G$23)^2</f>
        <v>0.30031249999999959</v>
      </c>
      <c r="T144" s="48">
        <f>0.5*($G$25-$G$24)^2</f>
        <v>7.5078125000000065E-2</v>
      </c>
      <c r="U144" s="48">
        <f>0.5*($G$25-$G$25)^2</f>
        <v>0</v>
      </c>
    </row>
    <row r="146" spans="1:25" x14ac:dyDescent="0.4">
      <c r="A146" s="63" t="s">
        <v>418</v>
      </c>
    </row>
    <row r="147" spans="1:25" ht="18" customHeight="1" x14ac:dyDescent="0.4">
      <c r="A147" s="10" t="s">
        <v>281</v>
      </c>
      <c r="B147" s="10" t="str">
        <f>$A$6</f>
        <v>A1</v>
      </c>
      <c r="C147" s="10" t="str">
        <f>$A$7</f>
        <v>A2</v>
      </c>
      <c r="D147" s="10" t="str">
        <f>$A$8</f>
        <v>A3</v>
      </c>
      <c r="E147" s="10" t="str">
        <f>$A$9</f>
        <v>A4</v>
      </c>
      <c r="F147" s="10" t="str">
        <f>$A$10</f>
        <v>A5</v>
      </c>
      <c r="G147" s="10" t="str">
        <f>$A$11</f>
        <v>B1</v>
      </c>
      <c r="H147" s="10" t="str">
        <f>$A$12</f>
        <v>B2</v>
      </c>
      <c r="I147" s="10" t="str">
        <f>$A$13</f>
        <v>B3</v>
      </c>
      <c r="J147" s="10" t="str">
        <f>$A$14</f>
        <v>B4</v>
      </c>
      <c r="K147" s="10" t="str">
        <f>$A$15</f>
        <v>B5</v>
      </c>
      <c r="L147" s="10" t="str">
        <f>$A$16</f>
        <v>C1</v>
      </c>
      <c r="M147" s="10" t="str">
        <f>$A$17</f>
        <v>C2</v>
      </c>
      <c r="N147" s="10" t="str">
        <f>$A$18</f>
        <v>C3</v>
      </c>
      <c r="O147" s="10" t="str">
        <f>$A$19</f>
        <v>C4</v>
      </c>
      <c r="P147" s="10" t="str">
        <f>$A$20</f>
        <v>C5</v>
      </c>
      <c r="Q147" s="10" t="str">
        <f>$A$21</f>
        <v>D1</v>
      </c>
      <c r="R147" s="10" t="str">
        <f>$A$22</f>
        <v>D2</v>
      </c>
      <c r="S147" s="10" t="str">
        <f>$A$23</f>
        <v>D3</v>
      </c>
      <c r="T147" s="10" t="str">
        <f>$A$24</f>
        <v>D4</v>
      </c>
      <c r="U147" s="10" t="str">
        <f>$A$25</f>
        <v>D5</v>
      </c>
      <c r="V147" s="10" t="s">
        <v>419</v>
      </c>
      <c r="X147" s="10" t="s">
        <v>420</v>
      </c>
      <c r="Y147" s="10" t="s">
        <v>421</v>
      </c>
    </row>
    <row r="148" spans="1:25" x14ac:dyDescent="0.4">
      <c r="A148" s="41" t="str">
        <f>$A$6</f>
        <v>A1</v>
      </c>
      <c r="B148" s="48">
        <f>IF(B102=0,0,CHOOSE(Inputs!$B$51,IF(B102&gt;=Inputs!$B$54,Inputs!$B$52+Inputs!$B$53,Inputs!$B$52+Inputs!$B$53*(1.5*B102/Inputs!$B$54-0.5*(B102/Inputs!$B$54)^3)),Inputs!$B$52+Inputs!$B$53*(1-EXP(-3*B102/Inputs!$B$54)),Inputs!$B$52+Inputs!$B$53*(1-EXP(-3*(B102/Inputs!$B$54)^2))))</f>
        <v>0</v>
      </c>
      <c r="C148" s="48">
        <f>IF(C102=0,0,CHOOSE(Inputs!$B$51,IF(C102&gt;=Inputs!$B$54,Inputs!$B$52+Inputs!$B$53,Inputs!$B$52+Inputs!$B$53*(1.5*C102/Inputs!$B$54-0.5*(C102/Inputs!$B$54)^3)),Inputs!$B$52+Inputs!$B$53*(1-EXP(-3*C102/Inputs!$B$54)),Inputs!$B$52+Inputs!$B$53*(1-EXP(-3*(C102/Inputs!$B$54)^2))))</f>
        <v>0.12812499999999999</v>
      </c>
      <c r="D148" s="48">
        <f>IF(D102=0,0,CHOOSE(Inputs!$B$51,IF(D102&gt;=Inputs!$B$54,Inputs!$B$52+Inputs!$B$53,Inputs!$B$52+Inputs!$B$53*(1.5*D102/Inputs!$B$54-0.5*(D102/Inputs!$B$54)^3)),Inputs!$B$52+Inputs!$B$53*(1-EXP(-3*D102/Inputs!$B$54)),Inputs!$B$52+Inputs!$B$53*(1-EXP(-3*(D102/Inputs!$B$54)^2))))</f>
        <v>0.15000000000000002</v>
      </c>
      <c r="E148" s="48">
        <f>IF(E102=0,0,CHOOSE(Inputs!$B$51,IF(E102&gt;=Inputs!$B$54,Inputs!$B$52+Inputs!$B$53,Inputs!$B$52+Inputs!$B$53*(1.5*E102/Inputs!$B$54-0.5*(E102/Inputs!$B$54)^3)),Inputs!$B$52+Inputs!$B$53*(1-EXP(-3*E102/Inputs!$B$54)),Inputs!$B$52+Inputs!$B$53*(1-EXP(-3*(E102/Inputs!$B$54)^2))))</f>
        <v>0.15000000000000002</v>
      </c>
      <c r="F148" s="48">
        <f>IF(F102=0,0,CHOOSE(Inputs!$B$51,IF(F102&gt;=Inputs!$B$54,Inputs!$B$52+Inputs!$B$53,Inputs!$B$52+Inputs!$B$53*(1.5*F102/Inputs!$B$54-0.5*(F102/Inputs!$B$54)^3)),Inputs!$B$52+Inputs!$B$53*(1-EXP(-3*F102/Inputs!$B$54)),Inputs!$B$52+Inputs!$B$53*(1-EXP(-3*(F102/Inputs!$B$54)^2))))</f>
        <v>0.15000000000000002</v>
      </c>
      <c r="G148" s="48">
        <f>IF(G102=0,0,CHOOSE(Inputs!$B$51,IF(G102&gt;=Inputs!$B$54,Inputs!$B$52+Inputs!$B$53,Inputs!$B$52+Inputs!$B$53*(1.5*G102/Inputs!$B$54-0.5*(G102/Inputs!$B$54)^3)),Inputs!$B$52+Inputs!$B$53*(1-EXP(-3*G102/Inputs!$B$54)),Inputs!$B$52+Inputs!$B$53*(1-EXP(-3*(G102/Inputs!$B$54)^2))))</f>
        <v>0.12812499999999999</v>
      </c>
      <c r="H148" s="48">
        <f>IF(H102=0,0,CHOOSE(Inputs!$B$51,IF(H102&gt;=Inputs!$B$54,Inputs!$B$52+Inputs!$B$53,Inputs!$B$52+Inputs!$B$53*(1.5*H102/Inputs!$B$54-0.5*(H102/Inputs!$B$54)^3)),Inputs!$B$52+Inputs!$B$53*(1-EXP(-3*H102/Inputs!$B$54)),Inputs!$B$52+Inputs!$B$53*(1-EXP(-3*(H102/Inputs!$B$54)^2))))</f>
        <v>0.14187184335382291</v>
      </c>
      <c r="I148" s="48">
        <f>IF(I102=0,0,CHOOSE(Inputs!$B$51,IF(I102&gt;=Inputs!$B$54,Inputs!$B$52+Inputs!$B$53,Inputs!$B$52+Inputs!$B$53*(1.5*I102/Inputs!$B$54-0.5*(I102/Inputs!$B$54)^3)),Inputs!$B$52+Inputs!$B$53*(1-EXP(-3*I102/Inputs!$B$54)),Inputs!$B$52+Inputs!$B$53*(1-EXP(-3*(I102/Inputs!$B$54)^2))))</f>
        <v>0.15000000000000002</v>
      </c>
      <c r="J148" s="48">
        <f>IF(J102=0,0,CHOOSE(Inputs!$B$51,IF(J102&gt;=Inputs!$B$54,Inputs!$B$52+Inputs!$B$53,Inputs!$B$52+Inputs!$B$53*(1.5*J102/Inputs!$B$54-0.5*(J102/Inputs!$B$54)^3)),Inputs!$B$52+Inputs!$B$53*(1-EXP(-3*J102/Inputs!$B$54)),Inputs!$B$52+Inputs!$B$53*(1-EXP(-3*(J102/Inputs!$B$54)^2))))</f>
        <v>0.15000000000000002</v>
      </c>
      <c r="K148" s="48">
        <f>IF(K102=0,0,CHOOSE(Inputs!$B$51,IF(K102&gt;=Inputs!$B$54,Inputs!$B$52+Inputs!$B$53,Inputs!$B$52+Inputs!$B$53*(1.5*K102/Inputs!$B$54-0.5*(K102/Inputs!$B$54)^3)),Inputs!$B$52+Inputs!$B$53*(1-EXP(-3*K102/Inputs!$B$54)),Inputs!$B$52+Inputs!$B$53*(1-EXP(-3*(K102/Inputs!$B$54)^2))))</f>
        <v>0.15000000000000002</v>
      </c>
      <c r="L148" s="48">
        <f>IF(L102=0,0,CHOOSE(Inputs!$B$51,IF(L102&gt;=Inputs!$B$54,Inputs!$B$52+Inputs!$B$53,Inputs!$B$52+Inputs!$B$53*(1.5*L102/Inputs!$B$54-0.5*(L102/Inputs!$B$54)^3)),Inputs!$B$52+Inputs!$B$53*(1-EXP(-3*L102/Inputs!$B$54)),Inputs!$B$52+Inputs!$B$53*(1-EXP(-3*(L102/Inputs!$B$54)^2))))</f>
        <v>0.15000000000000002</v>
      </c>
      <c r="M148" s="48">
        <f>IF(M102=0,0,CHOOSE(Inputs!$B$51,IF(M102&gt;=Inputs!$B$54,Inputs!$B$52+Inputs!$B$53,Inputs!$B$52+Inputs!$B$53*(1.5*M102/Inputs!$B$54-0.5*(M102/Inputs!$B$54)^3)),Inputs!$B$52+Inputs!$B$53*(1-EXP(-3*M102/Inputs!$B$54)),Inputs!$B$52+Inputs!$B$53*(1-EXP(-3*(M102/Inputs!$B$54)^2))))</f>
        <v>0.15000000000000002</v>
      </c>
      <c r="N148" s="48">
        <f>IF(N102=0,0,CHOOSE(Inputs!$B$51,IF(N102&gt;=Inputs!$B$54,Inputs!$B$52+Inputs!$B$53,Inputs!$B$52+Inputs!$B$53*(1.5*N102/Inputs!$B$54-0.5*(N102/Inputs!$B$54)^3)),Inputs!$B$52+Inputs!$B$53*(1-EXP(-3*N102/Inputs!$B$54)),Inputs!$B$52+Inputs!$B$53*(1-EXP(-3*(N102/Inputs!$B$54)^2))))</f>
        <v>0.15000000000000002</v>
      </c>
      <c r="O148" s="48">
        <f>IF(O102=0,0,CHOOSE(Inputs!$B$51,IF(O102&gt;=Inputs!$B$54,Inputs!$B$52+Inputs!$B$53,Inputs!$B$52+Inputs!$B$53*(1.5*O102/Inputs!$B$54-0.5*(O102/Inputs!$B$54)^3)),Inputs!$B$52+Inputs!$B$53*(1-EXP(-3*O102/Inputs!$B$54)),Inputs!$B$52+Inputs!$B$53*(1-EXP(-3*(O102/Inputs!$B$54)^2))))</f>
        <v>0.15000000000000002</v>
      </c>
      <c r="P148" s="48">
        <f>IF(P102=0,0,CHOOSE(Inputs!$B$51,IF(P102&gt;=Inputs!$B$54,Inputs!$B$52+Inputs!$B$53,Inputs!$B$52+Inputs!$B$53*(1.5*P102/Inputs!$B$54-0.5*(P102/Inputs!$B$54)^3)),Inputs!$B$52+Inputs!$B$53*(1-EXP(-3*P102/Inputs!$B$54)),Inputs!$B$52+Inputs!$B$53*(1-EXP(-3*(P102/Inputs!$B$54)^2))))</f>
        <v>0.15000000000000002</v>
      </c>
      <c r="Q148" s="48">
        <f>IF(Q102=0,0,CHOOSE(Inputs!$B$51,IF(Q102&gt;=Inputs!$B$54,Inputs!$B$52+Inputs!$B$53,Inputs!$B$52+Inputs!$B$53*(1.5*Q102/Inputs!$B$54-0.5*(Q102/Inputs!$B$54)^3)),Inputs!$B$52+Inputs!$B$53*(1-EXP(-3*Q102/Inputs!$B$54)),Inputs!$B$52+Inputs!$B$53*(1-EXP(-3*(Q102/Inputs!$B$54)^2))))</f>
        <v>0.15000000000000002</v>
      </c>
      <c r="R148" s="48">
        <f>IF(R102=0,0,CHOOSE(Inputs!$B$51,IF(R102&gt;=Inputs!$B$54,Inputs!$B$52+Inputs!$B$53,Inputs!$B$52+Inputs!$B$53*(1.5*R102/Inputs!$B$54-0.5*(R102/Inputs!$B$54)^3)),Inputs!$B$52+Inputs!$B$53*(1-EXP(-3*R102/Inputs!$B$54)),Inputs!$B$52+Inputs!$B$53*(1-EXP(-3*(R102/Inputs!$B$54)^2))))</f>
        <v>0.15000000000000002</v>
      </c>
      <c r="S148" s="48">
        <f>IF(S102=0,0,CHOOSE(Inputs!$B$51,IF(S102&gt;=Inputs!$B$54,Inputs!$B$52+Inputs!$B$53,Inputs!$B$52+Inputs!$B$53*(1.5*S102/Inputs!$B$54-0.5*(S102/Inputs!$B$54)^3)),Inputs!$B$52+Inputs!$B$53*(1-EXP(-3*S102/Inputs!$B$54)),Inputs!$B$52+Inputs!$B$53*(1-EXP(-3*(S102/Inputs!$B$54)^2))))</f>
        <v>0.15000000000000002</v>
      </c>
      <c r="T148" s="48">
        <f>IF(T102=0,0,CHOOSE(Inputs!$B$51,IF(T102&gt;=Inputs!$B$54,Inputs!$B$52+Inputs!$B$53,Inputs!$B$52+Inputs!$B$53*(1.5*T102/Inputs!$B$54-0.5*(T102/Inputs!$B$54)^3)),Inputs!$B$52+Inputs!$B$53*(1-EXP(-3*T102/Inputs!$B$54)),Inputs!$B$52+Inputs!$B$53*(1-EXP(-3*(T102/Inputs!$B$54)^2))))</f>
        <v>0.15000000000000002</v>
      </c>
      <c r="U148" s="48">
        <f>IF(U102=0,0,CHOOSE(Inputs!$B$51,IF(U102&gt;=Inputs!$B$54,Inputs!$B$52+Inputs!$B$53,Inputs!$B$52+Inputs!$B$53*(1.5*U102/Inputs!$B$54-0.5*(U102/Inputs!$B$54)^3)),Inputs!$B$52+Inputs!$B$53*(1-EXP(-3*U102/Inputs!$B$54)),Inputs!$B$52+Inputs!$B$53*(1-EXP(-3*(U102/Inputs!$B$54)^2))))</f>
        <v>0.15000000000000002</v>
      </c>
      <c r="V148" s="51">
        <v>1</v>
      </c>
      <c r="X148" s="48">
        <f>IF(V102=0,0,CHOOSE(Inputs!$B$51,IF(V102&gt;=Inputs!$B$54,Inputs!$B$52+Inputs!$B$53,Inputs!$B$52+Inputs!$B$53*(1.5*V102/Inputs!$B$54-0.5*(V102/Inputs!$B$54)^3)),Inputs!$B$52+Inputs!$B$53*(1-EXP(-3*V102/Inputs!$B$54)),Inputs!$B$52+Inputs!$B$53*(1-EXP(-3*(V102/Inputs!$B$54)^2))))</f>
        <v>0.15000000000000002</v>
      </c>
      <c r="Y148" s="60">
        <f t="array" ref="Y148:Y168">MMULT(MINVERSE($B$148:$V$168),$X$148:$X$168)</f>
        <v>1.4506296674164532E-2</v>
      </c>
    </row>
    <row r="149" spans="1:25" x14ac:dyDescent="0.4">
      <c r="A149" s="41" t="str">
        <f>$A$7</f>
        <v>A2</v>
      </c>
      <c r="B149" s="48">
        <f>IF(B103=0,0,CHOOSE(Inputs!$B$51,IF(B103&gt;=Inputs!$B$54,Inputs!$B$52+Inputs!$B$53,Inputs!$B$52+Inputs!$B$53*(1.5*B103/Inputs!$B$54-0.5*(B103/Inputs!$B$54)^3)),Inputs!$B$52+Inputs!$B$53*(1-EXP(-3*B103/Inputs!$B$54)),Inputs!$B$52+Inputs!$B$53*(1-EXP(-3*(B103/Inputs!$B$54)^2))))</f>
        <v>0.12812499999999999</v>
      </c>
      <c r="C149" s="48">
        <f>IF(C103=0,0,CHOOSE(Inputs!$B$51,IF(C103&gt;=Inputs!$B$54,Inputs!$B$52+Inputs!$B$53,Inputs!$B$52+Inputs!$B$53*(1.5*C103/Inputs!$B$54-0.5*(C103/Inputs!$B$54)^3)),Inputs!$B$52+Inputs!$B$53*(1-EXP(-3*C103/Inputs!$B$54)),Inputs!$B$52+Inputs!$B$53*(1-EXP(-3*(C103/Inputs!$B$54)^2))))</f>
        <v>0</v>
      </c>
      <c r="D149" s="48">
        <f>IF(D103=0,0,CHOOSE(Inputs!$B$51,IF(D103&gt;=Inputs!$B$54,Inputs!$B$52+Inputs!$B$53,Inputs!$B$52+Inputs!$B$53*(1.5*D103/Inputs!$B$54-0.5*(D103/Inputs!$B$54)^3)),Inputs!$B$52+Inputs!$B$53*(1-EXP(-3*D103/Inputs!$B$54)),Inputs!$B$52+Inputs!$B$53*(1-EXP(-3*(D103/Inputs!$B$54)^2))))</f>
        <v>0.12812499999999999</v>
      </c>
      <c r="E149" s="48">
        <f>IF(E103=0,0,CHOOSE(Inputs!$B$51,IF(E103&gt;=Inputs!$B$54,Inputs!$B$52+Inputs!$B$53,Inputs!$B$52+Inputs!$B$53*(1.5*E103/Inputs!$B$54-0.5*(E103/Inputs!$B$54)^3)),Inputs!$B$52+Inputs!$B$53*(1-EXP(-3*E103/Inputs!$B$54)),Inputs!$B$52+Inputs!$B$53*(1-EXP(-3*(E103/Inputs!$B$54)^2))))</f>
        <v>0.15000000000000002</v>
      </c>
      <c r="F149" s="48">
        <f>IF(F103=0,0,CHOOSE(Inputs!$B$51,IF(F103&gt;=Inputs!$B$54,Inputs!$B$52+Inputs!$B$53,Inputs!$B$52+Inputs!$B$53*(1.5*F103/Inputs!$B$54-0.5*(F103/Inputs!$B$54)^3)),Inputs!$B$52+Inputs!$B$53*(1-EXP(-3*F103/Inputs!$B$54)),Inputs!$B$52+Inputs!$B$53*(1-EXP(-3*(F103/Inputs!$B$54)^2))))</f>
        <v>0.15000000000000002</v>
      </c>
      <c r="G149" s="48">
        <f>IF(G103=0,0,CHOOSE(Inputs!$B$51,IF(G103&gt;=Inputs!$B$54,Inputs!$B$52+Inputs!$B$53,Inputs!$B$52+Inputs!$B$53*(1.5*G103/Inputs!$B$54-0.5*(G103/Inputs!$B$54)^3)),Inputs!$B$52+Inputs!$B$53*(1-EXP(-3*G103/Inputs!$B$54)),Inputs!$B$52+Inputs!$B$53*(1-EXP(-3*(G103/Inputs!$B$54)^2))))</f>
        <v>0.14187184335382291</v>
      </c>
      <c r="H149" s="48">
        <f>IF(H103=0,0,CHOOSE(Inputs!$B$51,IF(H103&gt;=Inputs!$B$54,Inputs!$B$52+Inputs!$B$53,Inputs!$B$52+Inputs!$B$53*(1.5*H103/Inputs!$B$54-0.5*(H103/Inputs!$B$54)^3)),Inputs!$B$52+Inputs!$B$53*(1-EXP(-3*H103/Inputs!$B$54)),Inputs!$B$52+Inputs!$B$53*(1-EXP(-3*(H103/Inputs!$B$54)^2))))</f>
        <v>0.12812499999999999</v>
      </c>
      <c r="I149" s="48">
        <f>IF(I103=0,0,CHOOSE(Inputs!$B$51,IF(I103&gt;=Inputs!$B$54,Inputs!$B$52+Inputs!$B$53,Inputs!$B$52+Inputs!$B$53*(1.5*I103/Inputs!$B$54-0.5*(I103/Inputs!$B$54)^3)),Inputs!$B$52+Inputs!$B$53*(1-EXP(-3*I103/Inputs!$B$54)),Inputs!$B$52+Inputs!$B$53*(1-EXP(-3*(I103/Inputs!$B$54)^2))))</f>
        <v>0.14187184335382291</v>
      </c>
      <c r="J149" s="48">
        <f>IF(J103=0,0,CHOOSE(Inputs!$B$51,IF(J103&gt;=Inputs!$B$54,Inputs!$B$52+Inputs!$B$53,Inputs!$B$52+Inputs!$B$53*(1.5*J103/Inputs!$B$54-0.5*(J103/Inputs!$B$54)^3)),Inputs!$B$52+Inputs!$B$53*(1-EXP(-3*J103/Inputs!$B$54)),Inputs!$B$52+Inputs!$B$53*(1-EXP(-3*(J103/Inputs!$B$54)^2))))</f>
        <v>0.15000000000000002</v>
      </c>
      <c r="K149" s="48">
        <f>IF(K103=0,0,CHOOSE(Inputs!$B$51,IF(K103&gt;=Inputs!$B$54,Inputs!$B$52+Inputs!$B$53,Inputs!$B$52+Inputs!$B$53*(1.5*K103/Inputs!$B$54-0.5*(K103/Inputs!$B$54)^3)),Inputs!$B$52+Inputs!$B$53*(1-EXP(-3*K103/Inputs!$B$54)),Inputs!$B$52+Inputs!$B$53*(1-EXP(-3*(K103/Inputs!$B$54)^2))))</f>
        <v>0.15000000000000002</v>
      </c>
      <c r="L149" s="48">
        <f>IF(L103=0,0,CHOOSE(Inputs!$B$51,IF(L103&gt;=Inputs!$B$54,Inputs!$B$52+Inputs!$B$53,Inputs!$B$52+Inputs!$B$53*(1.5*L103/Inputs!$B$54-0.5*(L103/Inputs!$B$54)^3)),Inputs!$B$52+Inputs!$B$53*(1-EXP(-3*L103/Inputs!$B$54)),Inputs!$B$52+Inputs!$B$53*(1-EXP(-3*(L103/Inputs!$B$54)^2))))</f>
        <v>0.15000000000000002</v>
      </c>
      <c r="M149" s="48">
        <f>IF(M103=0,0,CHOOSE(Inputs!$B$51,IF(M103&gt;=Inputs!$B$54,Inputs!$B$52+Inputs!$B$53,Inputs!$B$52+Inputs!$B$53*(1.5*M103/Inputs!$B$54-0.5*(M103/Inputs!$B$54)^3)),Inputs!$B$52+Inputs!$B$53*(1-EXP(-3*M103/Inputs!$B$54)),Inputs!$B$52+Inputs!$B$53*(1-EXP(-3*(M103/Inputs!$B$54)^2))))</f>
        <v>0.15000000000000002</v>
      </c>
      <c r="N149" s="48">
        <f>IF(N103=0,0,CHOOSE(Inputs!$B$51,IF(N103&gt;=Inputs!$B$54,Inputs!$B$52+Inputs!$B$53,Inputs!$B$52+Inputs!$B$53*(1.5*N103/Inputs!$B$54-0.5*(N103/Inputs!$B$54)^3)),Inputs!$B$52+Inputs!$B$53*(1-EXP(-3*N103/Inputs!$B$54)),Inputs!$B$52+Inputs!$B$53*(1-EXP(-3*(N103/Inputs!$B$54)^2))))</f>
        <v>0.15000000000000002</v>
      </c>
      <c r="O149" s="48">
        <f>IF(O103=0,0,CHOOSE(Inputs!$B$51,IF(O103&gt;=Inputs!$B$54,Inputs!$B$52+Inputs!$B$53,Inputs!$B$52+Inputs!$B$53*(1.5*O103/Inputs!$B$54-0.5*(O103/Inputs!$B$54)^3)),Inputs!$B$52+Inputs!$B$53*(1-EXP(-3*O103/Inputs!$B$54)),Inputs!$B$52+Inputs!$B$53*(1-EXP(-3*(O103/Inputs!$B$54)^2))))</f>
        <v>0.15000000000000002</v>
      </c>
      <c r="P149" s="48">
        <f>IF(P103=0,0,CHOOSE(Inputs!$B$51,IF(P103&gt;=Inputs!$B$54,Inputs!$B$52+Inputs!$B$53,Inputs!$B$52+Inputs!$B$53*(1.5*P103/Inputs!$B$54-0.5*(P103/Inputs!$B$54)^3)),Inputs!$B$52+Inputs!$B$53*(1-EXP(-3*P103/Inputs!$B$54)),Inputs!$B$52+Inputs!$B$53*(1-EXP(-3*(P103/Inputs!$B$54)^2))))</f>
        <v>0.15000000000000002</v>
      </c>
      <c r="Q149" s="48">
        <f>IF(Q103=0,0,CHOOSE(Inputs!$B$51,IF(Q103&gt;=Inputs!$B$54,Inputs!$B$52+Inputs!$B$53,Inputs!$B$52+Inputs!$B$53*(1.5*Q103/Inputs!$B$54-0.5*(Q103/Inputs!$B$54)^3)),Inputs!$B$52+Inputs!$B$53*(1-EXP(-3*Q103/Inputs!$B$54)),Inputs!$B$52+Inputs!$B$53*(1-EXP(-3*(Q103/Inputs!$B$54)^2))))</f>
        <v>0.15000000000000002</v>
      </c>
      <c r="R149" s="48">
        <f>IF(R103=0,0,CHOOSE(Inputs!$B$51,IF(R103&gt;=Inputs!$B$54,Inputs!$B$52+Inputs!$B$53,Inputs!$B$52+Inputs!$B$53*(1.5*R103/Inputs!$B$54-0.5*(R103/Inputs!$B$54)^3)),Inputs!$B$52+Inputs!$B$53*(1-EXP(-3*R103/Inputs!$B$54)),Inputs!$B$52+Inputs!$B$53*(1-EXP(-3*(R103/Inputs!$B$54)^2))))</f>
        <v>0.15000000000000002</v>
      </c>
      <c r="S149" s="48">
        <f>IF(S103=0,0,CHOOSE(Inputs!$B$51,IF(S103&gt;=Inputs!$B$54,Inputs!$B$52+Inputs!$B$53,Inputs!$B$52+Inputs!$B$53*(1.5*S103/Inputs!$B$54-0.5*(S103/Inputs!$B$54)^3)),Inputs!$B$52+Inputs!$B$53*(1-EXP(-3*S103/Inputs!$B$54)),Inputs!$B$52+Inputs!$B$53*(1-EXP(-3*(S103/Inputs!$B$54)^2))))</f>
        <v>0.15000000000000002</v>
      </c>
      <c r="T149" s="48">
        <f>IF(T103=0,0,CHOOSE(Inputs!$B$51,IF(T103&gt;=Inputs!$B$54,Inputs!$B$52+Inputs!$B$53,Inputs!$B$52+Inputs!$B$53*(1.5*T103/Inputs!$B$54-0.5*(T103/Inputs!$B$54)^3)),Inputs!$B$52+Inputs!$B$53*(1-EXP(-3*T103/Inputs!$B$54)),Inputs!$B$52+Inputs!$B$53*(1-EXP(-3*(T103/Inputs!$B$54)^2))))</f>
        <v>0.15000000000000002</v>
      </c>
      <c r="U149" s="48">
        <f>IF(U103=0,0,CHOOSE(Inputs!$B$51,IF(U103&gt;=Inputs!$B$54,Inputs!$B$52+Inputs!$B$53,Inputs!$B$52+Inputs!$B$53*(1.5*U103/Inputs!$B$54-0.5*(U103/Inputs!$B$54)^3)),Inputs!$B$52+Inputs!$B$53*(1-EXP(-3*U103/Inputs!$B$54)),Inputs!$B$52+Inputs!$B$53*(1-EXP(-3*(U103/Inputs!$B$54)^2))))</f>
        <v>0.15000000000000002</v>
      </c>
      <c r="V149" s="51">
        <v>1</v>
      </c>
      <c r="X149" s="48">
        <f>IF(V103=0,0,CHOOSE(Inputs!$B$51,IF(V103&gt;=Inputs!$B$54,Inputs!$B$52+Inputs!$B$53,Inputs!$B$52+Inputs!$B$53*(1.5*V103/Inputs!$B$54-0.5*(V103/Inputs!$B$54)^3)),Inputs!$B$52+Inputs!$B$53*(1-EXP(-3*V103/Inputs!$B$54)),Inputs!$B$52+Inputs!$B$53*(1-EXP(-3*(V103/Inputs!$B$54)^2))))</f>
        <v>0.14571608262537417</v>
      </c>
      <c r="Y149" s="60">
        <v>1.4900795226274084E-2</v>
      </c>
    </row>
    <row r="150" spans="1:25" x14ac:dyDescent="0.4">
      <c r="A150" s="41" t="str">
        <f>$A$8</f>
        <v>A3</v>
      </c>
      <c r="B150" s="48">
        <f>IF(B104=0,0,CHOOSE(Inputs!$B$51,IF(B104&gt;=Inputs!$B$54,Inputs!$B$52+Inputs!$B$53,Inputs!$B$52+Inputs!$B$53*(1.5*B104/Inputs!$B$54-0.5*(B104/Inputs!$B$54)^3)),Inputs!$B$52+Inputs!$B$53*(1-EXP(-3*B104/Inputs!$B$54)),Inputs!$B$52+Inputs!$B$53*(1-EXP(-3*(B104/Inputs!$B$54)^2))))</f>
        <v>0.15000000000000002</v>
      </c>
      <c r="C150" s="48">
        <f>IF(C104=0,0,CHOOSE(Inputs!$B$51,IF(C104&gt;=Inputs!$B$54,Inputs!$B$52+Inputs!$B$53,Inputs!$B$52+Inputs!$B$53*(1.5*C104/Inputs!$B$54-0.5*(C104/Inputs!$B$54)^3)),Inputs!$B$52+Inputs!$B$53*(1-EXP(-3*C104/Inputs!$B$54)),Inputs!$B$52+Inputs!$B$53*(1-EXP(-3*(C104/Inputs!$B$54)^2))))</f>
        <v>0.12812499999999999</v>
      </c>
      <c r="D150" s="48">
        <f>IF(D104=0,0,CHOOSE(Inputs!$B$51,IF(D104&gt;=Inputs!$B$54,Inputs!$B$52+Inputs!$B$53,Inputs!$B$52+Inputs!$B$53*(1.5*D104/Inputs!$B$54-0.5*(D104/Inputs!$B$54)^3)),Inputs!$B$52+Inputs!$B$53*(1-EXP(-3*D104/Inputs!$B$54)),Inputs!$B$52+Inputs!$B$53*(1-EXP(-3*(D104/Inputs!$B$54)^2))))</f>
        <v>0</v>
      </c>
      <c r="E150" s="48">
        <f>IF(E104=0,0,CHOOSE(Inputs!$B$51,IF(E104&gt;=Inputs!$B$54,Inputs!$B$52+Inputs!$B$53,Inputs!$B$52+Inputs!$B$53*(1.5*E104/Inputs!$B$54-0.5*(E104/Inputs!$B$54)^3)),Inputs!$B$52+Inputs!$B$53*(1-EXP(-3*E104/Inputs!$B$54)),Inputs!$B$52+Inputs!$B$53*(1-EXP(-3*(E104/Inputs!$B$54)^2))))</f>
        <v>0.12812499999999999</v>
      </c>
      <c r="F150" s="48">
        <f>IF(F104=0,0,CHOOSE(Inputs!$B$51,IF(F104&gt;=Inputs!$B$54,Inputs!$B$52+Inputs!$B$53,Inputs!$B$52+Inputs!$B$53*(1.5*F104/Inputs!$B$54-0.5*(F104/Inputs!$B$54)^3)),Inputs!$B$52+Inputs!$B$53*(1-EXP(-3*F104/Inputs!$B$54)),Inputs!$B$52+Inputs!$B$53*(1-EXP(-3*(F104/Inputs!$B$54)^2))))</f>
        <v>0.15000000000000002</v>
      </c>
      <c r="G150" s="48">
        <f>IF(G104=0,0,CHOOSE(Inputs!$B$51,IF(G104&gt;=Inputs!$B$54,Inputs!$B$52+Inputs!$B$53,Inputs!$B$52+Inputs!$B$53*(1.5*G104/Inputs!$B$54-0.5*(G104/Inputs!$B$54)^3)),Inputs!$B$52+Inputs!$B$53*(1-EXP(-3*G104/Inputs!$B$54)),Inputs!$B$52+Inputs!$B$53*(1-EXP(-3*(G104/Inputs!$B$54)^2))))</f>
        <v>0.15000000000000002</v>
      </c>
      <c r="H150" s="48">
        <f>IF(H104=0,0,CHOOSE(Inputs!$B$51,IF(H104&gt;=Inputs!$B$54,Inputs!$B$52+Inputs!$B$53,Inputs!$B$52+Inputs!$B$53*(1.5*H104/Inputs!$B$54-0.5*(H104/Inputs!$B$54)^3)),Inputs!$B$52+Inputs!$B$53*(1-EXP(-3*H104/Inputs!$B$54)),Inputs!$B$52+Inputs!$B$53*(1-EXP(-3*(H104/Inputs!$B$54)^2))))</f>
        <v>0.14187184335382291</v>
      </c>
      <c r="I150" s="48">
        <f>IF(I104=0,0,CHOOSE(Inputs!$B$51,IF(I104&gt;=Inputs!$B$54,Inputs!$B$52+Inputs!$B$53,Inputs!$B$52+Inputs!$B$53*(1.5*I104/Inputs!$B$54-0.5*(I104/Inputs!$B$54)^3)),Inputs!$B$52+Inputs!$B$53*(1-EXP(-3*I104/Inputs!$B$54)),Inputs!$B$52+Inputs!$B$53*(1-EXP(-3*(I104/Inputs!$B$54)^2))))</f>
        <v>0.12812499999999999</v>
      </c>
      <c r="J150" s="48">
        <f>IF(J104=0,0,CHOOSE(Inputs!$B$51,IF(J104&gt;=Inputs!$B$54,Inputs!$B$52+Inputs!$B$53,Inputs!$B$52+Inputs!$B$53*(1.5*J104/Inputs!$B$54-0.5*(J104/Inputs!$B$54)^3)),Inputs!$B$52+Inputs!$B$53*(1-EXP(-3*J104/Inputs!$B$54)),Inputs!$B$52+Inputs!$B$53*(1-EXP(-3*(J104/Inputs!$B$54)^2))))</f>
        <v>0.14187184335382291</v>
      </c>
      <c r="K150" s="48">
        <f>IF(K104=0,0,CHOOSE(Inputs!$B$51,IF(K104&gt;=Inputs!$B$54,Inputs!$B$52+Inputs!$B$53,Inputs!$B$52+Inputs!$B$53*(1.5*K104/Inputs!$B$54-0.5*(K104/Inputs!$B$54)^3)),Inputs!$B$52+Inputs!$B$53*(1-EXP(-3*K104/Inputs!$B$54)),Inputs!$B$52+Inputs!$B$53*(1-EXP(-3*(K104/Inputs!$B$54)^2))))</f>
        <v>0.15000000000000002</v>
      </c>
      <c r="L150" s="48">
        <f>IF(L104=0,0,CHOOSE(Inputs!$B$51,IF(L104&gt;=Inputs!$B$54,Inputs!$B$52+Inputs!$B$53,Inputs!$B$52+Inputs!$B$53*(1.5*L104/Inputs!$B$54-0.5*(L104/Inputs!$B$54)^3)),Inputs!$B$52+Inputs!$B$53*(1-EXP(-3*L104/Inputs!$B$54)),Inputs!$B$52+Inputs!$B$53*(1-EXP(-3*(L104/Inputs!$B$54)^2))))</f>
        <v>0.15000000000000002</v>
      </c>
      <c r="M150" s="48">
        <f>IF(M104=0,0,CHOOSE(Inputs!$B$51,IF(M104&gt;=Inputs!$B$54,Inputs!$B$52+Inputs!$B$53,Inputs!$B$52+Inputs!$B$53*(1.5*M104/Inputs!$B$54-0.5*(M104/Inputs!$B$54)^3)),Inputs!$B$52+Inputs!$B$53*(1-EXP(-3*M104/Inputs!$B$54)),Inputs!$B$52+Inputs!$B$53*(1-EXP(-3*(M104/Inputs!$B$54)^2))))</f>
        <v>0.15000000000000002</v>
      </c>
      <c r="N150" s="48">
        <f>IF(N104=0,0,CHOOSE(Inputs!$B$51,IF(N104&gt;=Inputs!$B$54,Inputs!$B$52+Inputs!$B$53,Inputs!$B$52+Inputs!$B$53*(1.5*N104/Inputs!$B$54-0.5*(N104/Inputs!$B$54)^3)),Inputs!$B$52+Inputs!$B$53*(1-EXP(-3*N104/Inputs!$B$54)),Inputs!$B$52+Inputs!$B$53*(1-EXP(-3*(N104/Inputs!$B$54)^2))))</f>
        <v>0.15000000000000002</v>
      </c>
      <c r="O150" s="48">
        <f>IF(O104=0,0,CHOOSE(Inputs!$B$51,IF(O104&gt;=Inputs!$B$54,Inputs!$B$52+Inputs!$B$53,Inputs!$B$52+Inputs!$B$53*(1.5*O104/Inputs!$B$54-0.5*(O104/Inputs!$B$54)^3)),Inputs!$B$52+Inputs!$B$53*(1-EXP(-3*O104/Inputs!$B$54)),Inputs!$B$52+Inputs!$B$53*(1-EXP(-3*(O104/Inputs!$B$54)^2))))</f>
        <v>0.15000000000000002</v>
      </c>
      <c r="P150" s="48">
        <f>IF(P104=0,0,CHOOSE(Inputs!$B$51,IF(P104&gt;=Inputs!$B$54,Inputs!$B$52+Inputs!$B$53,Inputs!$B$52+Inputs!$B$53*(1.5*P104/Inputs!$B$54-0.5*(P104/Inputs!$B$54)^3)),Inputs!$B$52+Inputs!$B$53*(1-EXP(-3*P104/Inputs!$B$54)),Inputs!$B$52+Inputs!$B$53*(1-EXP(-3*(P104/Inputs!$B$54)^2))))</f>
        <v>0.15000000000000002</v>
      </c>
      <c r="Q150" s="48">
        <f>IF(Q104=0,0,CHOOSE(Inputs!$B$51,IF(Q104&gt;=Inputs!$B$54,Inputs!$B$52+Inputs!$B$53,Inputs!$B$52+Inputs!$B$53*(1.5*Q104/Inputs!$B$54-0.5*(Q104/Inputs!$B$54)^3)),Inputs!$B$52+Inputs!$B$53*(1-EXP(-3*Q104/Inputs!$B$54)),Inputs!$B$52+Inputs!$B$53*(1-EXP(-3*(Q104/Inputs!$B$54)^2))))</f>
        <v>0.15000000000000002</v>
      </c>
      <c r="R150" s="48">
        <f>IF(R104=0,0,CHOOSE(Inputs!$B$51,IF(R104&gt;=Inputs!$B$54,Inputs!$B$52+Inputs!$B$53,Inputs!$B$52+Inputs!$B$53*(1.5*R104/Inputs!$B$54-0.5*(R104/Inputs!$B$54)^3)),Inputs!$B$52+Inputs!$B$53*(1-EXP(-3*R104/Inputs!$B$54)),Inputs!$B$52+Inputs!$B$53*(1-EXP(-3*(R104/Inputs!$B$54)^2))))</f>
        <v>0.15000000000000002</v>
      </c>
      <c r="S150" s="48">
        <f>IF(S104=0,0,CHOOSE(Inputs!$B$51,IF(S104&gt;=Inputs!$B$54,Inputs!$B$52+Inputs!$B$53,Inputs!$B$52+Inputs!$B$53*(1.5*S104/Inputs!$B$54-0.5*(S104/Inputs!$B$54)^3)),Inputs!$B$52+Inputs!$B$53*(1-EXP(-3*S104/Inputs!$B$54)),Inputs!$B$52+Inputs!$B$53*(1-EXP(-3*(S104/Inputs!$B$54)^2))))</f>
        <v>0.15000000000000002</v>
      </c>
      <c r="T150" s="48">
        <f>IF(T104=0,0,CHOOSE(Inputs!$B$51,IF(T104&gt;=Inputs!$B$54,Inputs!$B$52+Inputs!$B$53,Inputs!$B$52+Inputs!$B$53*(1.5*T104/Inputs!$B$54-0.5*(T104/Inputs!$B$54)^3)),Inputs!$B$52+Inputs!$B$53*(1-EXP(-3*T104/Inputs!$B$54)),Inputs!$B$52+Inputs!$B$53*(1-EXP(-3*(T104/Inputs!$B$54)^2))))</f>
        <v>0.15000000000000002</v>
      </c>
      <c r="U150" s="48">
        <f>IF(U104=0,0,CHOOSE(Inputs!$B$51,IF(U104&gt;=Inputs!$B$54,Inputs!$B$52+Inputs!$B$53,Inputs!$B$52+Inputs!$B$53*(1.5*U104/Inputs!$B$54-0.5*(U104/Inputs!$B$54)^3)),Inputs!$B$52+Inputs!$B$53*(1-EXP(-3*U104/Inputs!$B$54)),Inputs!$B$52+Inputs!$B$53*(1-EXP(-3*(U104/Inputs!$B$54)^2))))</f>
        <v>0.15000000000000002</v>
      </c>
      <c r="V150" s="51">
        <v>1</v>
      </c>
      <c r="X150" s="48">
        <f>IF(V104=0,0,CHOOSE(Inputs!$B$51,IF(V104&gt;=Inputs!$B$54,Inputs!$B$52+Inputs!$B$53,Inputs!$B$52+Inputs!$B$53*(1.5*V104/Inputs!$B$54-0.5*(V104/Inputs!$B$54)^3)),Inputs!$B$52+Inputs!$B$53*(1-EXP(-3*V104/Inputs!$B$54)),Inputs!$B$52+Inputs!$B$53*(1-EXP(-3*(V104/Inputs!$B$54)^2))))</f>
        <v>0.14571608262537417</v>
      </c>
      <c r="Y150" s="60">
        <v>1.5765685577454461E-2</v>
      </c>
    </row>
    <row r="151" spans="1:25" x14ac:dyDescent="0.4">
      <c r="A151" s="41" t="str">
        <f>$A$9</f>
        <v>A4</v>
      </c>
      <c r="B151" s="48">
        <f>IF(B105=0,0,CHOOSE(Inputs!$B$51,IF(B105&gt;=Inputs!$B$54,Inputs!$B$52+Inputs!$B$53,Inputs!$B$52+Inputs!$B$53*(1.5*B105/Inputs!$B$54-0.5*(B105/Inputs!$B$54)^3)),Inputs!$B$52+Inputs!$B$53*(1-EXP(-3*B105/Inputs!$B$54)),Inputs!$B$52+Inputs!$B$53*(1-EXP(-3*(B105/Inputs!$B$54)^2))))</f>
        <v>0.15000000000000002</v>
      </c>
      <c r="C151" s="48">
        <f>IF(C105=0,0,CHOOSE(Inputs!$B$51,IF(C105&gt;=Inputs!$B$54,Inputs!$B$52+Inputs!$B$53,Inputs!$B$52+Inputs!$B$53*(1.5*C105/Inputs!$B$54-0.5*(C105/Inputs!$B$54)^3)),Inputs!$B$52+Inputs!$B$53*(1-EXP(-3*C105/Inputs!$B$54)),Inputs!$B$52+Inputs!$B$53*(1-EXP(-3*(C105/Inputs!$B$54)^2))))</f>
        <v>0.15000000000000002</v>
      </c>
      <c r="D151" s="48">
        <f>IF(D105=0,0,CHOOSE(Inputs!$B$51,IF(D105&gt;=Inputs!$B$54,Inputs!$B$52+Inputs!$B$53,Inputs!$B$52+Inputs!$B$53*(1.5*D105/Inputs!$B$54-0.5*(D105/Inputs!$B$54)^3)),Inputs!$B$52+Inputs!$B$53*(1-EXP(-3*D105/Inputs!$B$54)),Inputs!$B$52+Inputs!$B$53*(1-EXP(-3*(D105/Inputs!$B$54)^2))))</f>
        <v>0.12812499999999999</v>
      </c>
      <c r="E151" s="48">
        <f>IF(E105=0,0,CHOOSE(Inputs!$B$51,IF(E105&gt;=Inputs!$B$54,Inputs!$B$52+Inputs!$B$53,Inputs!$B$52+Inputs!$B$53*(1.5*E105/Inputs!$B$54-0.5*(E105/Inputs!$B$54)^3)),Inputs!$B$52+Inputs!$B$53*(1-EXP(-3*E105/Inputs!$B$54)),Inputs!$B$52+Inputs!$B$53*(1-EXP(-3*(E105/Inputs!$B$54)^2))))</f>
        <v>0</v>
      </c>
      <c r="F151" s="48">
        <f>IF(F105=0,0,CHOOSE(Inputs!$B$51,IF(F105&gt;=Inputs!$B$54,Inputs!$B$52+Inputs!$B$53,Inputs!$B$52+Inputs!$B$53*(1.5*F105/Inputs!$B$54-0.5*(F105/Inputs!$B$54)^3)),Inputs!$B$52+Inputs!$B$53*(1-EXP(-3*F105/Inputs!$B$54)),Inputs!$B$52+Inputs!$B$53*(1-EXP(-3*(F105/Inputs!$B$54)^2))))</f>
        <v>0.12812499999999999</v>
      </c>
      <c r="G151" s="48">
        <f>IF(G105=0,0,CHOOSE(Inputs!$B$51,IF(G105&gt;=Inputs!$B$54,Inputs!$B$52+Inputs!$B$53,Inputs!$B$52+Inputs!$B$53*(1.5*G105/Inputs!$B$54-0.5*(G105/Inputs!$B$54)^3)),Inputs!$B$52+Inputs!$B$53*(1-EXP(-3*G105/Inputs!$B$54)),Inputs!$B$52+Inputs!$B$53*(1-EXP(-3*(G105/Inputs!$B$54)^2))))</f>
        <v>0.15000000000000002</v>
      </c>
      <c r="H151" s="48">
        <f>IF(H105=0,0,CHOOSE(Inputs!$B$51,IF(H105&gt;=Inputs!$B$54,Inputs!$B$52+Inputs!$B$53,Inputs!$B$52+Inputs!$B$53*(1.5*H105/Inputs!$B$54-0.5*(H105/Inputs!$B$54)^3)),Inputs!$B$52+Inputs!$B$53*(1-EXP(-3*H105/Inputs!$B$54)),Inputs!$B$52+Inputs!$B$53*(1-EXP(-3*(H105/Inputs!$B$54)^2))))</f>
        <v>0.15000000000000002</v>
      </c>
      <c r="I151" s="48">
        <f>IF(I105=0,0,CHOOSE(Inputs!$B$51,IF(I105&gt;=Inputs!$B$54,Inputs!$B$52+Inputs!$B$53,Inputs!$B$52+Inputs!$B$53*(1.5*I105/Inputs!$B$54-0.5*(I105/Inputs!$B$54)^3)),Inputs!$B$52+Inputs!$B$53*(1-EXP(-3*I105/Inputs!$B$54)),Inputs!$B$52+Inputs!$B$53*(1-EXP(-3*(I105/Inputs!$B$54)^2))))</f>
        <v>0.14187184335382291</v>
      </c>
      <c r="J151" s="48">
        <f>IF(J105=0,0,CHOOSE(Inputs!$B$51,IF(J105&gt;=Inputs!$B$54,Inputs!$B$52+Inputs!$B$53,Inputs!$B$52+Inputs!$B$53*(1.5*J105/Inputs!$B$54-0.5*(J105/Inputs!$B$54)^3)),Inputs!$B$52+Inputs!$B$53*(1-EXP(-3*J105/Inputs!$B$54)),Inputs!$B$52+Inputs!$B$53*(1-EXP(-3*(J105/Inputs!$B$54)^2))))</f>
        <v>0.12812499999999999</v>
      </c>
      <c r="K151" s="48">
        <f>IF(K105=0,0,CHOOSE(Inputs!$B$51,IF(K105&gt;=Inputs!$B$54,Inputs!$B$52+Inputs!$B$53,Inputs!$B$52+Inputs!$B$53*(1.5*K105/Inputs!$B$54-0.5*(K105/Inputs!$B$54)^3)),Inputs!$B$52+Inputs!$B$53*(1-EXP(-3*K105/Inputs!$B$54)),Inputs!$B$52+Inputs!$B$53*(1-EXP(-3*(K105/Inputs!$B$54)^2))))</f>
        <v>0.14187184335382291</v>
      </c>
      <c r="L151" s="48">
        <f>IF(L105=0,0,CHOOSE(Inputs!$B$51,IF(L105&gt;=Inputs!$B$54,Inputs!$B$52+Inputs!$B$53,Inputs!$B$52+Inputs!$B$53*(1.5*L105/Inputs!$B$54-0.5*(L105/Inputs!$B$54)^3)),Inputs!$B$52+Inputs!$B$53*(1-EXP(-3*L105/Inputs!$B$54)),Inputs!$B$52+Inputs!$B$53*(1-EXP(-3*(L105/Inputs!$B$54)^2))))</f>
        <v>0.15000000000000002</v>
      </c>
      <c r="M151" s="48">
        <f>IF(M105=0,0,CHOOSE(Inputs!$B$51,IF(M105&gt;=Inputs!$B$54,Inputs!$B$52+Inputs!$B$53,Inputs!$B$52+Inputs!$B$53*(1.5*M105/Inputs!$B$54-0.5*(M105/Inputs!$B$54)^3)),Inputs!$B$52+Inputs!$B$53*(1-EXP(-3*M105/Inputs!$B$54)),Inputs!$B$52+Inputs!$B$53*(1-EXP(-3*(M105/Inputs!$B$54)^2))))</f>
        <v>0.15000000000000002</v>
      </c>
      <c r="N151" s="48">
        <f>IF(N105=0,0,CHOOSE(Inputs!$B$51,IF(N105&gt;=Inputs!$B$54,Inputs!$B$52+Inputs!$B$53,Inputs!$B$52+Inputs!$B$53*(1.5*N105/Inputs!$B$54-0.5*(N105/Inputs!$B$54)^3)),Inputs!$B$52+Inputs!$B$53*(1-EXP(-3*N105/Inputs!$B$54)),Inputs!$B$52+Inputs!$B$53*(1-EXP(-3*(N105/Inputs!$B$54)^2))))</f>
        <v>0.15000000000000002</v>
      </c>
      <c r="O151" s="48">
        <f>IF(O105=0,0,CHOOSE(Inputs!$B$51,IF(O105&gt;=Inputs!$B$54,Inputs!$B$52+Inputs!$B$53,Inputs!$B$52+Inputs!$B$53*(1.5*O105/Inputs!$B$54-0.5*(O105/Inputs!$B$54)^3)),Inputs!$B$52+Inputs!$B$53*(1-EXP(-3*O105/Inputs!$B$54)),Inputs!$B$52+Inputs!$B$53*(1-EXP(-3*(O105/Inputs!$B$54)^2))))</f>
        <v>0.15000000000000002</v>
      </c>
      <c r="P151" s="48">
        <f>IF(P105=0,0,CHOOSE(Inputs!$B$51,IF(P105&gt;=Inputs!$B$54,Inputs!$B$52+Inputs!$B$53,Inputs!$B$52+Inputs!$B$53*(1.5*P105/Inputs!$B$54-0.5*(P105/Inputs!$B$54)^3)),Inputs!$B$52+Inputs!$B$53*(1-EXP(-3*P105/Inputs!$B$54)),Inputs!$B$52+Inputs!$B$53*(1-EXP(-3*(P105/Inputs!$B$54)^2))))</f>
        <v>0.15000000000000002</v>
      </c>
      <c r="Q151" s="48">
        <f>IF(Q105=0,0,CHOOSE(Inputs!$B$51,IF(Q105&gt;=Inputs!$B$54,Inputs!$B$52+Inputs!$B$53,Inputs!$B$52+Inputs!$B$53*(1.5*Q105/Inputs!$B$54-0.5*(Q105/Inputs!$B$54)^3)),Inputs!$B$52+Inputs!$B$53*(1-EXP(-3*Q105/Inputs!$B$54)),Inputs!$B$52+Inputs!$B$53*(1-EXP(-3*(Q105/Inputs!$B$54)^2))))</f>
        <v>0.15000000000000002</v>
      </c>
      <c r="R151" s="48">
        <f>IF(R105=0,0,CHOOSE(Inputs!$B$51,IF(R105&gt;=Inputs!$B$54,Inputs!$B$52+Inputs!$B$53,Inputs!$B$52+Inputs!$B$53*(1.5*R105/Inputs!$B$54-0.5*(R105/Inputs!$B$54)^3)),Inputs!$B$52+Inputs!$B$53*(1-EXP(-3*R105/Inputs!$B$54)),Inputs!$B$52+Inputs!$B$53*(1-EXP(-3*(R105/Inputs!$B$54)^2))))</f>
        <v>0.15000000000000002</v>
      </c>
      <c r="S151" s="48">
        <f>IF(S105=0,0,CHOOSE(Inputs!$B$51,IF(S105&gt;=Inputs!$B$54,Inputs!$B$52+Inputs!$B$53,Inputs!$B$52+Inputs!$B$53*(1.5*S105/Inputs!$B$54-0.5*(S105/Inputs!$B$54)^3)),Inputs!$B$52+Inputs!$B$53*(1-EXP(-3*S105/Inputs!$B$54)),Inputs!$B$52+Inputs!$B$53*(1-EXP(-3*(S105/Inputs!$B$54)^2))))</f>
        <v>0.15000000000000002</v>
      </c>
      <c r="T151" s="48">
        <f>IF(T105=0,0,CHOOSE(Inputs!$B$51,IF(T105&gt;=Inputs!$B$54,Inputs!$B$52+Inputs!$B$53,Inputs!$B$52+Inputs!$B$53*(1.5*T105/Inputs!$B$54-0.5*(T105/Inputs!$B$54)^3)),Inputs!$B$52+Inputs!$B$53*(1-EXP(-3*T105/Inputs!$B$54)),Inputs!$B$52+Inputs!$B$53*(1-EXP(-3*(T105/Inputs!$B$54)^2))))</f>
        <v>0.15000000000000002</v>
      </c>
      <c r="U151" s="48">
        <f>IF(U105=0,0,CHOOSE(Inputs!$B$51,IF(U105&gt;=Inputs!$B$54,Inputs!$B$52+Inputs!$B$53,Inputs!$B$52+Inputs!$B$53*(1.5*U105/Inputs!$B$54-0.5*(U105/Inputs!$B$54)^3)),Inputs!$B$52+Inputs!$B$53*(1-EXP(-3*U105/Inputs!$B$54)),Inputs!$B$52+Inputs!$B$53*(1-EXP(-3*(U105/Inputs!$B$54)^2))))</f>
        <v>0.15000000000000002</v>
      </c>
      <c r="V151" s="51">
        <v>1</v>
      </c>
      <c r="X151" s="48">
        <f>IF(V105=0,0,CHOOSE(Inputs!$B$51,IF(V105&gt;=Inputs!$B$54,Inputs!$B$52+Inputs!$B$53,Inputs!$B$52+Inputs!$B$53*(1.5*V105/Inputs!$B$54-0.5*(V105/Inputs!$B$54)^3)),Inputs!$B$52+Inputs!$B$53*(1-EXP(-3*V105/Inputs!$B$54)),Inputs!$B$52+Inputs!$B$53*(1-EXP(-3*(V105/Inputs!$B$54)^2))))</f>
        <v>0.15000000000000002</v>
      </c>
      <c r="Y151" s="60">
        <v>1.0372301421220753E-2</v>
      </c>
    </row>
    <row r="152" spans="1:25" x14ac:dyDescent="0.4">
      <c r="A152" s="41" t="str">
        <f>$A$10</f>
        <v>A5</v>
      </c>
      <c r="B152" s="48">
        <f>IF(B106=0,0,CHOOSE(Inputs!$B$51,IF(B106&gt;=Inputs!$B$54,Inputs!$B$52+Inputs!$B$53,Inputs!$B$52+Inputs!$B$53*(1.5*B106/Inputs!$B$54-0.5*(B106/Inputs!$B$54)^3)),Inputs!$B$52+Inputs!$B$53*(1-EXP(-3*B106/Inputs!$B$54)),Inputs!$B$52+Inputs!$B$53*(1-EXP(-3*(B106/Inputs!$B$54)^2))))</f>
        <v>0.15000000000000002</v>
      </c>
      <c r="C152" s="48">
        <f>IF(C106=0,0,CHOOSE(Inputs!$B$51,IF(C106&gt;=Inputs!$B$54,Inputs!$B$52+Inputs!$B$53,Inputs!$B$52+Inputs!$B$53*(1.5*C106/Inputs!$B$54-0.5*(C106/Inputs!$B$54)^3)),Inputs!$B$52+Inputs!$B$53*(1-EXP(-3*C106/Inputs!$B$54)),Inputs!$B$52+Inputs!$B$53*(1-EXP(-3*(C106/Inputs!$B$54)^2))))</f>
        <v>0.15000000000000002</v>
      </c>
      <c r="D152" s="48">
        <f>IF(D106=0,0,CHOOSE(Inputs!$B$51,IF(D106&gt;=Inputs!$B$54,Inputs!$B$52+Inputs!$B$53,Inputs!$B$52+Inputs!$B$53*(1.5*D106/Inputs!$B$54-0.5*(D106/Inputs!$B$54)^3)),Inputs!$B$52+Inputs!$B$53*(1-EXP(-3*D106/Inputs!$B$54)),Inputs!$B$52+Inputs!$B$53*(1-EXP(-3*(D106/Inputs!$B$54)^2))))</f>
        <v>0.15000000000000002</v>
      </c>
      <c r="E152" s="48">
        <f>IF(E106=0,0,CHOOSE(Inputs!$B$51,IF(E106&gt;=Inputs!$B$54,Inputs!$B$52+Inputs!$B$53,Inputs!$B$52+Inputs!$B$53*(1.5*E106/Inputs!$B$54-0.5*(E106/Inputs!$B$54)^3)),Inputs!$B$52+Inputs!$B$53*(1-EXP(-3*E106/Inputs!$B$54)),Inputs!$B$52+Inputs!$B$53*(1-EXP(-3*(E106/Inputs!$B$54)^2))))</f>
        <v>0.12812499999999999</v>
      </c>
      <c r="F152" s="48">
        <f>IF(F106=0,0,CHOOSE(Inputs!$B$51,IF(F106&gt;=Inputs!$B$54,Inputs!$B$52+Inputs!$B$53,Inputs!$B$52+Inputs!$B$53*(1.5*F106/Inputs!$B$54-0.5*(F106/Inputs!$B$54)^3)),Inputs!$B$52+Inputs!$B$53*(1-EXP(-3*F106/Inputs!$B$54)),Inputs!$B$52+Inputs!$B$53*(1-EXP(-3*(F106/Inputs!$B$54)^2))))</f>
        <v>0</v>
      </c>
      <c r="G152" s="48">
        <f>IF(G106=0,0,CHOOSE(Inputs!$B$51,IF(G106&gt;=Inputs!$B$54,Inputs!$B$52+Inputs!$B$53,Inputs!$B$52+Inputs!$B$53*(1.5*G106/Inputs!$B$54-0.5*(G106/Inputs!$B$54)^3)),Inputs!$B$52+Inputs!$B$53*(1-EXP(-3*G106/Inputs!$B$54)),Inputs!$B$52+Inputs!$B$53*(1-EXP(-3*(G106/Inputs!$B$54)^2))))</f>
        <v>0.15000000000000002</v>
      </c>
      <c r="H152" s="48">
        <f>IF(H106=0,0,CHOOSE(Inputs!$B$51,IF(H106&gt;=Inputs!$B$54,Inputs!$B$52+Inputs!$B$53,Inputs!$B$52+Inputs!$B$53*(1.5*H106/Inputs!$B$54-0.5*(H106/Inputs!$B$54)^3)),Inputs!$B$52+Inputs!$B$53*(1-EXP(-3*H106/Inputs!$B$54)),Inputs!$B$52+Inputs!$B$53*(1-EXP(-3*(H106/Inputs!$B$54)^2))))</f>
        <v>0.15000000000000002</v>
      </c>
      <c r="I152" s="48">
        <f>IF(I106=0,0,CHOOSE(Inputs!$B$51,IF(I106&gt;=Inputs!$B$54,Inputs!$B$52+Inputs!$B$53,Inputs!$B$52+Inputs!$B$53*(1.5*I106/Inputs!$B$54-0.5*(I106/Inputs!$B$54)^3)),Inputs!$B$52+Inputs!$B$53*(1-EXP(-3*I106/Inputs!$B$54)),Inputs!$B$52+Inputs!$B$53*(1-EXP(-3*(I106/Inputs!$B$54)^2))))</f>
        <v>0.15000000000000002</v>
      </c>
      <c r="J152" s="48">
        <f>IF(J106=0,0,CHOOSE(Inputs!$B$51,IF(J106&gt;=Inputs!$B$54,Inputs!$B$52+Inputs!$B$53,Inputs!$B$52+Inputs!$B$53*(1.5*J106/Inputs!$B$54-0.5*(J106/Inputs!$B$54)^3)),Inputs!$B$52+Inputs!$B$53*(1-EXP(-3*J106/Inputs!$B$54)),Inputs!$B$52+Inputs!$B$53*(1-EXP(-3*(J106/Inputs!$B$54)^2))))</f>
        <v>0.14187184335382291</v>
      </c>
      <c r="K152" s="48">
        <f>IF(K106=0,0,CHOOSE(Inputs!$B$51,IF(K106&gt;=Inputs!$B$54,Inputs!$B$52+Inputs!$B$53,Inputs!$B$52+Inputs!$B$53*(1.5*K106/Inputs!$B$54-0.5*(K106/Inputs!$B$54)^3)),Inputs!$B$52+Inputs!$B$53*(1-EXP(-3*K106/Inputs!$B$54)),Inputs!$B$52+Inputs!$B$53*(1-EXP(-3*(K106/Inputs!$B$54)^2))))</f>
        <v>0.12812499999999999</v>
      </c>
      <c r="L152" s="48">
        <f>IF(L106=0,0,CHOOSE(Inputs!$B$51,IF(L106&gt;=Inputs!$B$54,Inputs!$B$52+Inputs!$B$53,Inputs!$B$52+Inputs!$B$53*(1.5*L106/Inputs!$B$54-0.5*(L106/Inputs!$B$54)^3)),Inputs!$B$52+Inputs!$B$53*(1-EXP(-3*L106/Inputs!$B$54)),Inputs!$B$52+Inputs!$B$53*(1-EXP(-3*(L106/Inputs!$B$54)^2))))</f>
        <v>0.15000000000000002</v>
      </c>
      <c r="M152" s="48">
        <f>IF(M106=0,0,CHOOSE(Inputs!$B$51,IF(M106&gt;=Inputs!$B$54,Inputs!$B$52+Inputs!$B$53,Inputs!$B$52+Inputs!$B$53*(1.5*M106/Inputs!$B$54-0.5*(M106/Inputs!$B$54)^3)),Inputs!$B$52+Inputs!$B$53*(1-EXP(-3*M106/Inputs!$B$54)),Inputs!$B$52+Inputs!$B$53*(1-EXP(-3*(M106/Inputs!$B$54)^2))))</f>
        <v>0.15000000000000002</v>
      </c>
      <c r="N152" s="48">
        <f>IF(N106=0,0,CHOOSE(Inputs!$B$51,IF(N106&gt;=Inputs!$B$54,Inputs!$B$52+Inputs!$B$53,Inputs!$B$52+Inputs!$B$53*(1.5*N106/Inputs!$B$54-0.5*(N106/Inputs!$B$54)^3)),Inputs!$B$52+Inputs!$B$53*(1-EXP(-3*N106/Inputs!$B$54)),Inputs!$B$52+Inputs!$B$53*(1-EXP(-3*(N106/Inputs!$B$54)^2))))</f>
        <v>0.15000000000000002</v>
      </c>
      <c r="O152" s="48">
        <f>IF(O106=0,0,CHOOSE(Inputs!$B$51,IF(O106&gt;=Inputs!$B$54,Inputs!$B$52+Inputs!$B$53,Inputs!$B$52+Inputs!$B$53*(1.5*O106/Inputs!$B$54-0.5*(O106/Inputs!$B$54)^3)),Inputs!$B$52+Inputs!$B$53*(1-EXP(-3*O106/Inputs!$B$54)),Inputs!$B$52+Inputs!$B$53*(1-EXP(-3*(O106/Inputs!$B$54)^2))))</f>
        <v>0.15000000000000002</v>
      </c>
      <c r="P152" s="48">
        <f>IF(P106=0,0,CHOOSE(Inputs!$B$51,IF(P106&gt;=Inputs!$B$54,Inputs!$B$52+Inputs!$B$53,Inputs!$B$52+Inputs!$B$53*(1.5*P106/Inputs!$B$54-0.5*(P106/Inputs!$B$54)^3)),Inputs!$B$52+Inputs!$B$53*(1-EXP(-3*P106/Inputs!$B$54)),Inputs!$B$52+Inputs!$B$53*(1-EXP(-3*(P106/Inputs!$B$54)^2))))</f>
        <v>0.15000000000000002</v>
      </c>
      <c r="Q152" s="48">
        <f>IF(Q106=0,0,CHOOSE(Inputs!$B$51,IF(Q106&gt;=Inputs!$B$54,Inputs!$B$52+Inputs!$B$53,Inputs!$B$52+Inputs!$B$53*(1.5*Q106/Inputs!$B$54-0.5*(Q106/Inputs!$B$54)^3)),Inputs!$B$52+Inputs!$B$53*(1-EXP(-3*Q106/Inputs!$B$54)),Inputs!$B$52+Inputs!$B$53*(1-EXP(-3*(Q106/Inputs!$B$54)^2))))</f>
        <v>0.15000000000000002</v>
      </c>
      <c r="R152" s="48">
        <f>IF(R106=0,0,CHOOSE(Inputs!$B$51,IF(R106&gt;=Inputs!$B$54,Inputs!$B$52+Inputs!$B$53,Inputs!$B$52+Inputs!$B$53*(1.5*R106/Inputs!$B$54-0.5*(R106/Inputs!$B$54)^3)),Inputs!$B$52+Inputs!$B$53*(1-EXP(-3*R106/Inputs!$B$54)),Inputs!$B$52+Inputs!$B$53*(1-EXP(-3*(R106/Inputs!$B$54)^2))))</f>
        <v>0.15000000000000002</v>
      </c>
      <c r="S152" s="48">
        <f>IF(S106=0,0,CHOOSE(Inputs!$B$51,IF(S106&gt;=Inputs!$B$54,Inputs!$B$52+Inputs!$B$53,Inputs!$B$52+Inputs!$B$53*(1.5*S106/Inputs!$B$54-0.5*(S106/Inputs!$B$54)^3)),Inputs!$B$52+Inputs!$B$53*(1-EXP(-3*S106/Inputs!$B$54)),Inputs!$B$52+Inputs!$B$53*(1-EXP(-3*(S106/Inputs!$B$54)^2))))</f>
        <v>0.15000000000000002</v>
      </c>
      <c r="T152" s="48">
        <f>IF(T106=0,0,CHOOSE(Inputs!$B$51,IF(T106&gt;=Inputs!$B$54,Inputs!$B$52+Inputs!$B$53,Inputs!$B$52+Inputs!$B$53*(1.5*T106/Inputs!$B$54-0.5*(T106/Inputs!$B$54)^3)),Inputs!$B$52+Inputs!$B$53*(1-EXP(-3*T106/Inputs!$B$54)),Inputs!$B$52+Inputs!$B$53*(1-EXP(-3*(T106/Inputs!$B$54)^2))))</f>
        <v>0.15000000000000002</v>
      </c>
      <c r="U152" s="48">
        <f>IF(U106=0,0,CHOOSE(Inputs!$B$51,IF(U106&gt;=Inputs!$B$54,Inputs!$B$52+Inputs!$B$53,Inputs!$B$52+Inputs!$B$53*(1.5*U106/Inputs!$B$54-0.5*(U106/Inputs!$B$54)^3)),Inputs!$B$52+Inputs!$B$53*(1-EXP(-3*U106/Inputs!$B$54)),Inputs!$B$52+Inputs!$B$53*(1-EXP(-3*(U106/Inputs!$B$54)^2))))</f>
        <v>0.15000000000000002</v>
      </c>
      <c r="V152" s="51">
        <v>1</v>
      </c>
      <c r="X152" s="48">
        <f>IF(V106=0,0,CHOOSE(Inputs!$B$51,IF(V106&gt;=Inputs!$B$54,Inputs!$B$52+Inputs!$B$53,Inputs!$B$52+Inputs!$B$53*(1.5*V106/Inputs!$B$54-0.5*(V106/Inputs!$B$54)^3)),Inputs!$B$52+Inputs!$B$53*(1-EXP(-3*V106/Inputs!$B$54)),Inputs!$B$52+Inputs!$B$53*(1-EXP(-3*(V106/Inputs!$B$54)^2))))</f>
        <v>0.15000000000000002</v>
      </c>
      <c r="Y152" s="60">
        <v>2.4005259668517707E-2</v>
      </c>
    </row>
    <row r="153" spans="1:25" x14ac:dyDescent="0.4">
      <c r="A153" s="41" t="str">
        <f>$A$11</f>
        <v>B1</v>
      </c>
      <c r="B153" s="48">
        <f>IF(B107=0,0,CHOOSE(Inputs!$B$51,IF(B107&gt;=Inputs!$B$54,Inputs!$B$52+Inputs!$B$53,Inputs!$B$52+Inputs!$B$53*(1.5*B107/Inputs!$B$54-0.5*(B107/Inputs!$B$54)^3)),Inputs!$B$52+Inputs!$B$53*(1-EXP(-3*B107/Inputs!$B$54)),Inputs!$B$52+Inputs!$B$53*(1-EXP(-3*(B107/Inputs!$B$54)^2))))</f>
        <v>0.12812499999999999</v>
      </c>
      <c r="C153" s="48">
        <f>IF(C107=0,0,CHOOSE(Inputs!$B$51,IF(C107&gt;=Inputs!$B$54,Inputs!$B$52+Inputs!$B$53,Inputs!$B$52+Inputs!$B$53*(1.5*C107/Inputs!$B$54-0.5*(C107/Inputs!$B$54)^3)),Inputs!$B$52+Inputs!$B$53*(1-EXP(-3*C107/Inputs!$B$54)),Inputs!$B$52+Inputs!$B$53*(1-EXP(-3*(C107/Inputs!$B$54)^2))))</f>
        <v>0.14187184335382291</v>
      </c>
      <c r="D153" s="48">
        <f>IF(D107=0,0,CHOOSE(Inputs!$B$51,IF(D107&gt;=Inputs!$B$54,Inputs!$B$52+Inputs!$B$53,Inputs!$B$52+Inputs!$B$53*(1.5*D107/Inputs!$B$54-0.5*(D107/Inputs!$B$54)^3)),Inputs!$B$52+Inputs!$B$53*(1-EXP(-3*D107/Inputs!$B$54)),Inputs!$B$52+Inputs!$B$53*(1-EXP(-3*(D107/Inputs!$B$54)^2))))</f>
        <v>0.15000000000000002</v>
      </c>
      <c r="E153" s="48">
        <f>IF(E107=0,0,CHOOSE(Inputs!$B$51,IF(E107&gt;=Inputs!$B$54,Inputs!$B$52+Inputs!$B$53,Inputs!$B$52+Inputs!$B$53*(1.5*E107/Inputs!$B$54-0.5*(E107/Inputs!$B$54)^3)),Inputs!$B$52+Inputs!$B$53*(1-EXP(-3*E107/Inputs!$B$54)),Inputs!$B$52+Inputs!$B$53*(1-EXP(-3*(E107/Inputs!$B$54)^2))))</f>
        <v>0.15000000000000002</v>
      </c>
      <c r="F153" s="48">
        <f>IF(F107=0,0,CHOOSE(Inputs!$B$51,IF(F107&gt;=Inputs!$B$54,Inputs!$B$52+Inputs!$B$53,Inputs!$B$52+Inputs!$B$53*(1.5*F107/Inputs!$B$54-0.5*(F107/Inputs!$B$54)^3)),Inputs!$B$52+Inputs!$B$53*(1-EXP(-3*F107/Inputs!$B$54)),Inputs!$B$52+Inputs!$B$53*(1-EXP(-3*(F107/Inputs!$B$54)^2))))</f>
        <v>0.15000000000000002</v>
      </c>
      <c r="G153" s="48">
        <f>IF(G107=0,0,CHOOSE(Inputs!$B$51,IF(G107&gt;=Inputs!$B$54,Inputs!$B$52+Inputs!$B$53,Inputs!$B$52+Inputs!$B$53*(1.5*G107/Inputs!$B$54-0.5*(G107/Inputs!$B$54)^3)),Inputs!$B$52+Inputs!$B$53*(1-EXP(-3*G107/Inputs!$B$54)),Inputs!$B$52+Inputs!$B$53*(1-EXP(-3*(G107/Inputs!$B$54)^2))))</f>
        <v>0</v>
      </c>
      <c r="H153" s="48">
        <f>IF(H107=0,0,CHOOSE(Inputs!$B$51,IF(H107&gt;=Inputs!$B$54,Inputs!$B$52+Inputs!$B$53,Inputs!$B$52+Inputs!$B$53*(1.5*H107/Inputs!$B$54-0.5*(H107/Inputs!$B$54)^3)),Inputs!$B$52+Inputs!$B$53*(1-EXP(-3*H107/Inputs!$B$54)),Inputs!$B$52+Inputs!$B$53*(1-EXP(-3*(H107/Inputs!$B$54)^2))))</f>
        <v>0.12812499999999999</v>
      </c>
      <c r="I153" s="48">
        <f>IF(I107=0,0,CHOOSE(Inputs!$B$51,IF(I107&gt;=Inputs!$B$54,Inputs!$B$52+Inputs!$B$53,Inputs!$B$52+Inputs!$B$53*(1.5*I107/Inputs!$B$54-0.5*(I107/Inputs!$B$54)^3)),Inputs!$B$52+Inputs!$B$53*(1-EXP(-3*I107/Inputs!$B$54)),Inputs!$B$52+Inputs!$B$53*(1-EXP(-3*(I107/Inputs!$B$54)^2))))</f>
        <v>0.15000000000000002</v>
      </c>
      <c r="J153" s="48">
        <f>IF(J107=0,0,CHOOSE(Inputs!$B$51,IF(J107&gt;=Inputs!$B$54,Inputs!$B$52+Inputs!$B$53,Inputs!$B$52+Inputs!$B$53*(1.5*J107/Inputs!$B$54-0.5*(J107/Inputs!$B$54)^3)),Inputs!$B$52+Inputs!$B$53*(1-EXP(-3*J107/Inputs!$B$54)),Inputs!$B$52+Inputs!$B$53*(1-EXP(-3*(J107/Inputs!$B$54)^2))))</f>
        <v>0.15000000000000002</v>
      </c>
      <c r="K153" s="48">
        <f>IF(K107=0,0,CHOOSE(Inputs!$B$51,IF(K107&gt;=Inputs!$B$54,Inputs!$B$52+Inputs!$B$53,Inputs!$B$52+Inputs!$B$53*(1.5*K107/Inputs!$B$54-0.5*(K107/Inputs!$B$54)^3)),Inputs!$B$52+Inputs!$B$53*(1-EXP(-3*K107/Inputs!$B$54)),Inputs!$B$52+Inputs!$B$53*(1-EXP(-3*(K107/Inputs!$B$54)^2))))</f>
        <v>0.15000000000000002</v>
      </c>
      <c r="L153" s="48">
        <f>IF(L107=0,0,CHOOSE(Inputs!$B$51,IF(L107&gt;=Inputs!$B$54,Inputs!$B$52+Inputs!$B$53,Inputs!$B$52+Inputs!$B$53*(1.5*L107/Inputs!$B$54-0.5*(L107/Inputs!$B$54)^3)),Inputs!$B$52+Inputs!$B$53*(1-EXP(-3*L107/Inputs!$B$54)),Inputs!$B$52+Inputs!$B$53*(1-EXP(-3*(L107/Inputs!$B$54)^2))))</f>
        <v>0.12812499999999999</v>
      </c>
      <c r="M153" s="48">
        <f>IF(M107=0,0,CHOOSE(Inputs!$B$51,IF(M107&gt;=Inputs!$B$54,Inputs!$B$52+Inputs!$B$53,Inputs!$B$52+Inputs!$B$53*(1.5*M107/Inputs!$B$54-0.5*(M107/Inputs!$B$54)^3)),Inputs!$B$52+Inputs!$B$53*(1-EXP(-3*M107/Inputs!$B$54)),Inputs!$B$52+Inputs!$B$53*(1-EXP(-3*(M107/Inputs!$B$54)^2))))</f>
        <v>0.14187184335382291</v>
      </c>
      <c r="N153" s="48">
        <f>IF(N107=0,0,CHOOSE(Inputs!$B$51,IF(N107&gt;=Inputs!$B$54,Inputs!$B$52+Inputs!$B$53,Inputs!$B$52+Inputs!$B$53*(1.5*N107/Inputs!$B$54-0.5*(N107/Inputs!$B$54)^3)),Inputs!$B$52+Inputs!$B$53*(1-EXP(-3*N107/Inputs!$B$54)),Inputs!$B$52+Inputs!$B$53*(1-EXP(-3*(N107/Inputs!$B$54)^2))))</f>
        <v>0.15000000000000002</v>
      </c>
      <c r="O153" s="48">
        <f>IF(O107=0,0,CHOOSE(Inputs!$B$51,IF(O107&gt;=Inputs!$B$54,Inputs!$B$52+Inputs!$B$53,Inputs!$B$52+Inputs!$B$53*(1.5*O107/Inputs!$B$54-0.5*(O107/Inputs!$B$54)^3)),Inputs!$B$52+Inputs!$B$53*(1-EXP(-3*O107/Inputs!$B$54)),Inputs!$B$52+Inputs!$B$53*(1-EXP(-3*(O107/Inputs!$B$54)^2))))</f>
        <v>0.15000000000000002</v>
      </c>
      <c r="P153" s="48">
        <f>IF(P107=0,0,CHOOSE(Inputs!$B$51,IF(P107&gt;=Inputs!$B$54,Inputs!$B$52+Inputs!$B$53,Inputs!$B$52+Inputs!$B$53*(1.5*P107/Inputs!$B$54-0.5*(P107/Inputs!$B$54)^3)),Inputs!$B$52+Inputs!$B$53*(1-EXP(-3*P107/Inputs!$B$54)),Inputs!$B$52+Inputs!$B$53*(1-EXP(-3*(P107/Inputs!$B$54)^2))))</f>
        <v>0.15000000000000002</v>
      </c>
      <c r="Q153" s="48">
        <f>IF(Q107=0,0,CHOOSE(Inputs!$B$51,IF(Q107&gt;=Inputs!$B$54,Inputs!$B$52+Inputs!$B$53,Inputs!$B$52+Inputs!$B$53*(1.5*Q107/Inputs!$B$54-0.5*(Q107/Inputs!$B$54)^3)),Inputs!$B$52+Inputs!$B$53*(1-EXP(-3*Q107/Inputs!$B$54)),Inputs!$B$52+Inputs!$B$53*(1-EXP(-3*(Q107/Inputs!$B$54)^2))))</f>
        <v>0.15000000000000002</v>
      </c>
      <c r="R153" s="48">
        <f>IF(R107=0,0,CHOOSE(Inputs!$B$51,IF(R107&gt;=Inputs!$B$54,Inputs!$B$52+Inputs!$B$53,Inputs!$B$52+Inputs!$B$53*(1.5*R107/Inputs!$B$54-0.5*(R107/Inputs!$B$54)^3)),Inputs!$B$52+Inputs!$B$53*(1-EXP(-3*R107/Inputs!$B$54)),Inputs!$B$52+Inputs!$B$53*(1-EXP(-3*(R107/Inputs!$B$54)^2))))</f>
        <v>0.15000000000000002</v>
      </c>
      <c r="S153" s="48">
        <f>IF(S107=0,0,CHOOSE(Inputs!$B$51,IF(S107&gt;=Inputs!$B$54,Inputs!$B$52+Inputs!$B$53,Inputs!$B$52+Inputs!$B$53*(1.5*S107/Inputs!$B$54-0.5*(S107/Inputs!$B$54)^3)),Inputs!$B$52+Inputs!$B$53*(1-EXP(-3*S107/Inputs!$B$54)),Inputs!$B$52+Inputs!$B$53*(1-EXP(-3*(S107/Inputs!$B$54)^2))))</f>
        <v>0.15000000000000002</v>
      </c>
      <c r="T153" s="48">
        <f>IF(T107=0,0,CHOOSE(Inputs!$B$51,IF(T107&gt;=Inputs!$B$54,Inputs!$B$52+Inputs!$B$53,Inputs!$B$52+Inputs!$B$53*(1.5*T107/Inputs!$B$54-0.5*(T107/Inputs!$B$54)^3)),Inputs!$B$52+Inputs!$B$53*(1-EXP(-3*T107/Inputs!$B$54)),Inputs!$B$52+Inputs!$B$53*(1-EXP(-3*(T107/Inputs!$B$54)^2))))</f>
        <v>0.15000000000000002</v>
      </c>
      <c r="U153" s="48">
        <f>IF(U107=0,0,CHOOSE(Inputs!$B$51,IF(U107&gt;=Inputs!$B$54,Inputs!$B$52+Inputs!$B$53,Inputs!$B$52+Inputs!$B$53*(1.5*U107/Inputs!$B$54-0.5*(U107/Inputs!$B$54)^3)),Inputs!$B$52+Inputs!$B$53*(1-EXP(-3*U107/Inputs!$B$54)),Inputs!$B$52+Inputs!$B$53*(1-EXP(-3*(U107/Inputs!$B$54)^2))))</f>
        <v>0.15000000000000002</v>
      </c>
      <c r="V153" s="51">
        <v>1</v>
      </c>
      <c r="X153" s="48">
        <f>IF(V107=0,0,CHOOSE(Inputs!$B$51,IF(V107&gt;=Inputs!$B$54,Inputs!$B$52+Inputs!$B$53,Inputs!$B$52+Inputs!$B$53*(1.5*V107/Inputs!$B$54-0.5*(V107/Inputs!$B$54)^3)),Inputs!$B$52+Inputs!$B$53*(1-EXP(-3*V107/Inputs!$B$54)),Inputs!$B$52+Inputs!$B$53*(1-EXP(-3*(V107/Inputs!$B$54)^2))))</f>
        <v>0.14571608262537417</v>
      </c>
      <c r="Y153" s="60">
        <v>1.5069146277065806E-2</v>
      </c>
    </row>
    <row r="154" spans="1:25" x14ac:dyDescent="0.4">
      <c r="A154" s="41" t="str">
        <f>$A$12</f>
        <v>B2</v>
      </c>
      <c r="B154" s="48">
        <f>IF(B108=0,0,CHOOSE(Inputs!$B$51,IF(B108&gt;=Inputs!$B$54,Inputs!$B$52+Inputs!$B$53,Inputs!$B$52+Inputs!$B$53*(1.5*B108/Inputs!$B$54-0.5*(B108/Inputs!$B$54)^3)),Inputs!$B$52+Inputs!$B$53*(1-EXP(-3*B108/Inputs!$B$54)),Inputs!$B$52+Inputs!$B$53*(1-EXP(-3*(B108/Inputs!$B$54)^2))))</f>
        <v>0.14187184335382291</v>
      </c>
      <c r="C154" s="48">
        <f>IF(C108=0,0,CHOOSE(Inputs!$B$51,IF(C108&gt;=Inputs!$B$54,Inputs!$B$52+Inputs!$B$53,Inputs!$B$52+Inputs!$B$53*(1.5*C108/Inputs!$B$54-0.5*(C108/Inputs!$B$54)^3)),Inputs!$B$52+Inputs!$B$53*(1-EXP(-3*C108/Inputs!$B$54)),Inputs!$B$52+Inputs!$B$53*(1-EXP(-3*(C108/Inputs!$B$54)^2))))</f>
        <v>0.12812499999999999</v>
      </c>
      <c r="D154" s="48">
        <f>IF(D108=0,0,CHOOSE(Inputs!$B$51,IF(D108&gt;=Inputs!$B$54,Inputs!$B$52+Inputs!$B$53,Inputs!$B$52+Inputs!$B$53*(1.5*D108/Inputs!$B$54-0.5*(D108/Inputs!$B$54)^3)),Inputs!$B$52+Inputs!$B$53*(1-EXP(-3*D108/Inputs!$B$54)),Inputs!$B$52+Inputs!$B$53*(1-EXP(-3*(D108/Inputs!$B$54)^2))))</f>
        <v>0.14187184335382291</v>
      </c>
      <c r="E154" s="48">
        <f>IF(E108=0,0,CHOOSE(Inputs!$B$51,IF(E108&gt;=Inputs!$B$54,Inputs!$B$52+Inputs!$B$53,Inputs!$B$52+Inputs!$B$53*(1.5*E108/Inputs!$B$54-0.5*(E108/Inputs!$B$54)^3)),Inputs!$B$52+Inputs!$B$53*(1-EXP(-3*E108/Inputs!$B$54)),Inputs!$B$52+Inputs!$B$53*(1-EXP(-3*(E108/Inputs!$B$54)^2))))</f>
        <v>0.15000000000000002</v>
      </c>
      <c r="F154" s="48">
        <f>IF(F108=0,0,CHOOSE(Inputs!$B$51,IF(F108&gt;=Inputs!$B$54,Inputs!$B$52+Inputs!$B$53,Inputs!$B$52+Inputs!$B$53*(1.5*F108/Inputs!$B$54-0.5*(F108/Inputs!$B$54)^3)),Inputs!$B$52+Inputs!$B$53*(1-EXP(-3*F108/Inputs!$B$54)),Inputs!$B$52+Inputs!$B$53*(1-EXP(-3*(F108/Inputs!$B$54)^2))))</f>
        <v>0.15000000000000002</v>
      </c>
      <c r="G154" s="48">
        <f>IF(G108=0,0,CHOOSE(Inputs!$B$51,IF(G108&gt;=Inputs!$B$54,Inputs!$B$52+Inputs!$B$53,Inputs!$B$52+Inputs!$B$53*(1.5*G108/Inputs!$B$54-0.5*(G108/Inputs!$B$54)^3)),Inputs!$B$52+Inputs!$B$53*(1-EXP(-3*G108/Inputs!$B$54)),Inputs!$B$52+Inputs!$B$53*(1-EXP(-3*(G108/Inputs!$B$54)^2))))</f>
        <v>0.12812499999999999</v>
      </c>
      <c r="H154" s="48">
        <f>IF(H108=0,0,CHOOSE(Inputs!$B$51,IF(H108&gt;=Inputs!$B$54,Inputs!$B$52+Inputs!$B$53,Inputs!$B$52+Inputs!$B$53*(1.5*H108/Inputs!$B$54-0.5*(H108/Inputs!$B$54)^3)),Inputs!$B$52+Inputs!$B$53*(1-EXP(-3*H108/Inputs!$B$54)),Inputs!$B$52+Inputs!$B$53*(1-EXP(-3*(H108/Inputs!$B$54)^2))))</f>
        <v>0</v>
      </c>
      <c r="I154" s="48">
        <f>IF(I108=0,0,CHOOSE(Inputs!$B$51,IF(I108&gt;=Inputs!$B$54,Inputs!$B$52+Inputs!$B$53,Inputs!$B$52+Inputs!$B$53*(1.5*I108/Inputs!$B$54-0.5*(I108/Inputs!$B$54)^3)),Inputs!$B$52+Inputs!$B$53*(1-EXP(-3*I108/Inputs!$B$54)),Inputs!$B$52+Inputs!$B$53*(1-EXP(-3*(I108/Inputs!$B$54)^2))))</f>
        <v>0.12812499999999999</v>
      </c>
      <c r="J154" s="48">
        <f>IF(J108=0,0,CHOOSE(Inputs!$B$51,IF(J108&gt;=Inputs!$B$54,Inputs!$B$52+Inputs!$B$53,Inputs!$B$52+Inputs!$B$53*(1.5*J108/Inputs!$B$54-0.5*(J108/Inputs!$B$54)^3)),Inputs!$B$52+Inputs!$B$53*(1-EXP(-3*J108/Inputs!$B$54)),Inputs!$B$52+Inputs!$B$53*(1-EXP(-3*(J108/Inputs!$B$54)^2))))</f>
        <v>0.15000000000000002</v>
      </c>
      <c r="K154" s="48">
        <f>IF(K108=0,0,CHOOSE(Inputs!$B$51,IF(K108&gt;=Inputs!$B$54,Inputs!$B$52+Inputs!$B$53,Inputs!$B$52+Inputs!$B$53*(1.5*K108/Inputs!$B$54-0.5*(K108/Inputs!$B$54)^3)),Inputs!$B$52+Inputs!$B$53*(1-EXP(-3*K108/Inputs!$B$54)),Inputs!$B$52+Inputs!$B$53*(1-EXP(-3*(K108/Inputs!$B$54)^2))))</f>
        <v>0.15000000000000002</v>
      </c>
      <c r="L154" s="48">
        <f>IF(L108=0,0,CHOOSE(Inputs!$B$51,IF(L108&gt;=Inputs!$B$54,Inputs!$B$52+Inputs!$B$53,Inputs!$B$52+Inputs!$B$53*(1.5*L108/Inputs!$B$54-0.5*(L108/Inputs!$B$54)^3)),Inputs!$B$52+Inputs!$B$53*(1-EXP(-3*L108/Inputs!$B$54)),Inputs!$B$52+Inputs!$B$53*(1-EXP(-3*(L108/Inputs!$B$54)^2))))</f>
        <v>0.14187184335382291</v>
      </c>
      <c r="M154" s="48">
        <f>IF(M108=0,0,CHOOSE(Inputs!$B$51,IF(M108&gt;=Inputs!$B$54,Inputs!$B$52+Inputs!$B$53,Inputs!$B$52+Inputs!$B$53*(1.5*M108/Inputs!$B$54-0.5*(M108/Inputs!$B$54)^3)),Inputs!$B$52+Inputs!$B$53*(1-EXP(-3*M108/Inputs!$B$54)),Inputs!$B$52+Inputs!$B$53*(1-EXP(-3*(M108/Inputs!$B$54)^2))))</f>
        <v>0.12812499999999999</v>
      </c>
      <c r="N154" s="48">
        <f>IF(N108=0,0,CHOOSE(Inputs!$B$51,IF(N108&gt;=Inputs!$B$54,Inputs!$B$52+Inputs!$B$53,Inputs!$B$52+Inputs!$B$53*(1.5*N108/Inputs!$B$54-0.5*(N108/Inputs!$B$54)^3)),Inputs!$B$52+Inputs!$B$53*(1-EXP(-3*N108/Inputs!$B$54)),Inputs!$B$52+Inputs!$B$53*(1-EXP(-3*(N108/Inputs!$B$54)^2))))</f>
        <v>0.14187184335382291</v>
      </c>
      <c r="O154" s="48">
        <f>IF(O108=0,0,CHOOSE(Inputs!$B$51,IF(O108&gt;=Inputs!$B$54,Inputs!$B$52+Inputs!$B$53,Inputs!$B$52+Inputs!$B$53*(1.5*O108/Inputs!$B$54-0.5*(O108/Inputs!$B$54)^3)),Inputs!$B$52+Inputs!$B$53*(1-EXP(-3*O108/Inputs!$B$54)),Inputs!$B$52+Inputs!$B$53*(1-EXP(-3*(O108/Inputs!$B$54)^2))))</f>
        <v>0.15000000000000002</v>
      </c>
      <c r="P154" s="48">
        <f>IF(P108=0,0,CHOOSE(Inputs!$B$51,IF(P108&gt;=Inputs!$B$54,Inputs!$B$52+Inputs!$B$53,Inputs!$B$52+Inputs!$B$53*(1.5*P108/Inputs!$B$54-0.5*(P108/Inputs!$B$54)^3)),Inputs!$B$52+Inputs!$B$53*(1-EXP(-3*P108/Inputs!$B$54)),Inputs!$B$52+Inputs!$B$53*(1-EXP(-3*(P108/Inputs!$B$54)^2))))</f>
        <v>0.15000000000000002</v>
      </c>
      <c r="Q154" s="48">
        <f>IF(Q108=0,0,CHOOSE(Inputs!$B$51,IF(Q108&gt;=Inputs!$B$54,Inputs!$B$52+Inputs!$B$53,Inputs!$B$52+Inputs!$B$53*(1.5*Q108/Inputs!$B$54-0.5*(Q108/Inputs!$B$54)^3)),Inputs!$B$52+Inputs!$B$53*(1-EXP(-3*Q108/Inputs!$B$54)),Inputs!$B$52+Inputs!$B$53*(1-EXP(-3*(Q108/Inputs!$B$54)^2))))</f>
        <v>0.15000000000000002</v>
      </c>
      <c r="R154" s="48">
        <f>IF(R108=0,0,CHOOSE(Inputs!$B$51,IF(R108&gt;=Inputs!$B$54,Inputs!$B$52+Inputs!$B$53,Inputs!$B$52+Inputs!$B$53*(1.5*R108/Inputs!$B$54-0.5*(R108/Inputs!$B$54)^3)),Inputs!$B$52+Inputs!$B$53*(1-EXP(-3*R108/Inputs!$B$54)),Inputs!$B$52+Inputs!$B$53*(1-EXP(-3*(R108/Inputs!$B$54)^2))))</f>
        <v>0.15000000000000002</v>
      </c>
      <c r="S154" s="48">
        <f>IF(S108=0,0,CHOOSE(Inputs!$B$51,IF(S108&gt;=Inputs!$B$54,Inputs!$B$52+Inputs!$B$53,Inputs!$B$52+Inputs!$B$53*(1.5*S108/Inputs!$B$54-0.5*(S108/Inputs!$B$54)^3)),Inputs!$B$52+Inputs!$B$53*(1-EXP(-3*S108/Inputs!$B$54)),Inputs!$B$52+Inputs!$B$53*(1-EXP(-3*(S108/Inputs!$B$54)^2))))</f>
        <v>0.15000000000000002</v>
      </c>
      <c r="T154" s="48">
        <f>IF(T108=0,0,CHOOSE(Inputs!$B$51,IF(T108&gt;=Inputs!$B$54,Inputs!$B$52+Inputs!$B$53,Inputs!$B$52+Inputs!$B$53*(1.5*T108/Inputs!$B$54-0.5*(T108/Inputs!$B$54)^3)),Inputs!$B$52+Inputs!$B$53*(1-EXP(-3*T108/Inputs!$B$54)),Inputs!$B$52+Inputs!$B$53*(1-EXP(-3*(T108/Inputs!$B$54)^2))))</f>
        <v>0.15000000000000002</v>
      </c>
      <c r="U154" s="48">
        <f>IF(U108=0,0,CHOOSE(Inputs!$B$51,IF(U108&gt;=Inputs!$B$54,Inputs!$B$52+Inputs!$B$53,Inputs!$B$52+Inputs!$B$53*(1.5*U108/Inputs!$B$54-0.5*(U108/Inputs!$B$54)^3)),Inputs!$B$52+Inputs!$B$53*(1-EXP(-3*U108/Inputs!$B$54)),Inputs!$B$52+Inputs!$B$53*(1-EXP(-3*(U108/Inputs!$B$54)^2))))</f>
        <v>0.15000000000000002</v>
      </c>
      <c r="V154" s="51">
        <v>1</v>
      </c>
      <c r="X154" s="48">
        <f>IF(V108=0,0,CHOOSE(Inputs!$B$51,IF(V108&gt;=Inputs!$B$54,Inputs!$B$52+Inputs!$B$53,Inputs!$B$52+Inputs!$B$53*(1.5*V108/Inputs!$B$54-0.5*(V108/Inputs!$B$54)^3)),Inputs!$B$52+Inputs!$B$53*(1-EXP(-3*V108/Inputs!$B$54)),Inputs!$B$52+Inputs!$B$53*(1-EXP(-3*(V108/Inputs!$B$54)^2))))</f>
        <v>0.11557630992844818</v>
      </c>
      <c r="Y154" s="60">
        <v>0.18683444993217707</v>
      </c>
    </row>
    <row r="155" spans="1:25" x14ac:dyDescent="0.4">
      <c r="A155" s="41" t="str">
        <f>$A$13</f>
        <v>B3</v>
      </c>
      <c r="B155" s="48">
        <f>IF(B109=0,0,CHOOSE(Inputs!$B$51,IF(B109&gt;=Inputs!$B$54,Inputs!$B$52+Inputs!$B$53,Inputs!$B$52+Inputs!$B$53*(1.5*B109/Inputs!$B$54-0.5*(B109/Inputs!$B$54)^3)),Inputs!$B$52+Inputs!$B$53*(1-EXP(-3*B109/Inputs!$B$54)),Inputs!$B$52+Inputs!$B$53*(1-EXP(-3*(B109/Inputs!$B$54)^2))))</f>
        <v>0.15000000000000002</v>
      </c>
      <c r="C155" s="48">
        <f>IF(C109=0,0,CHOOSE(Inputs!$B$51,IF(C109&gt;=Inputs!$B$54,Inputs!$B$52+Inputs!$B$53,Inputs!$B$52+Inputs!$B$53*(1.5*C109/Inputs!$B$54-0.5*(C109/Inputs!$B$54)^3)),Inputs!$B$52+Inputs!$B$53*(1-EXP(-3*C109/Inputs!$B$54)),Inputs!$B$52+Inputs!$B$53*(1-EXP(-3*(C109/Inputs!$B$54)^2))))</f>
        <v>0.14187184335382291</v>
      </c>
      <c r="D155" s="48">
        <f>IF(D109=0,0,CHOOSE(Inputs!$B$51,IF(D109&gt;=Inputs!$B$54,Inputs!$B$52+Inputs!$B$53,Inputs!$B$52+Inputs!$B$53*(1.5*D109/Inputs!$B$54-0.5*(D109/Inputs!$B$54)^3)),Inputs!$B$52+Inputs!$B$53*(1-EXP(-3*D109/Inputs!$B$54)),Inputs!$B$52+Inputs!$B$53*(1-EXP(-3*(D109/Inputs!$B$54)^2))))</f>
        <v>0.12812499999999999</v>
      </c>
      <c r="E155" s="48">
        <f>IF(E109=0,0,CHOOSE(Inputs!$B$51,IF(E109&gt;=Inputs!$B$54,Inputs!$B$52+Inputs!$B$53,Inputs!$B$52+Inputs!$B$53*(1.5*E109/Inputs!$B$54-0.5*(E109/Inputs!$B$54)^3)),Inputs!$B$52+Inputs!$B$53*(1-EXP(-3*E109/Inputs!$B$54)),Inputs!$B$52+Inputs!$B$53*(1-EXP(-3*(E109/Inputs!$B$54)^2))))</f>
        <v>0.14187184335382291</v>
      </c>
      <c r="F155" s="48">
        <f>IF(F109=0,0,CHOOSE(Inputs!$B$51,IF(F109&gt;=Inputs!$B$54,Inputs!$B$52+Inputs!$B$53,Inputs!$B$52+Inputs!$B$53*(1.5*F109/Inputs!$B$54-0.5*(F109/Inputs!$B$54)^3)),Inputs!$B$52+Inputs!$B$53*(1-EXP(-3*F109/Inputs!$B$54)),Inputs!$B$52+Inputs!$B$53*(1-EXP(-3*(F109/Inputs!$B$54)^2))))</f>
        <v>0.15000000000000002</v>
      </c>
      <c r="G155" s="48">
        <f>IF(G109=0,0,CHOOSE(Inputs!$B$51,IF(G109&gt;=Inputs!$B$54,Inputs!$B$52+Inputs!$B$53,Inputs!$B$52+Inputs!$B$53*(1.5*G109/Inputs!$B$54-0.5*(G109/Inputs!$B$54)^3)),Inputs!$B$52+Inputs!$B$53*(1-EXP(-3*G109/Inputs!$B$54)),Inputs!$B$52+Inputs!$B$53*(1-EXP(-3*(G109/Inputs!$B$54)^2))))</f>
        <v>0.15000000000000002</v>
      </c>
      <c r="H155" s="48">
        <f>IF(H109=0,0,CHOOSE(Inputs!$B$51,IF(H109&gt;=Inputs!$B$54,Inputs!$B$52+Inputs!$B$53,Inputs!$B$52+Inputs!$B$53*(1.5*H109/Inputs!$B$54-0.5*(H109/Inputs!$B$54)^3)),Inputs!$B$52+Inputs!$B$53*(1-EXP(-3*H109/Inputs!$B$54)),Inputs!$B$52+Inputs!$B$53*(1-EXP(-3*(H109/Inputs!$B$54)^2))))</f>
        <v>0.12812499999999999</v>
      </c>
      <c r="I155" s="48">
        <f>IF(I109=0,0,CHOOSE(Inputs!$B$51,IF(I109&gt;=Inputs!$B$54,Inputs!$B$52+Inputs!$B$53,Inputs!$B$52+Inputs!$B$53*(1.5*I109/Inputs!$B$54-0.5*(I109/Inputs!$B$54)^3)),Inputs!$B$52+Inputs!$B$53*(1-EXP(-3*I109/Inputs!$B$54)),Inputs!$B$52+Inputs!$B$53*(1-EXP(-3*(I109/Inputs!$B$54)^2))))</f>
        <v>0</v>
      </c>
      <c r="J155" s="48">
        <f>IF(J109=0,0,CHOOSE(Inputs!$B$51,IF(J109&gt;=Inputs!$B$54,Inputs!$B$52+Inputs!$B$53,Inputs!$B$52+Inputs!$B$53*(1.5*J109/Inputs!$B$54-0.5*(J109/Inputs!$B$54)^3)),Inputs!$B$52+Inputs!$B$53*(1-EXP(-3*J109/Inputs!$B$54)),Inputs!$B$52+Inputs!$B$53*(1-EXP(-3*(J109/Inputs!$B$54)^2))))</f>
        <v>0.12812499999999999</v>
      </c>
      <c r="K155" s="48">
        <f>IF(K109=0,0,CHOOSE(Inputs!$B$51,IF(K109&gt;=Inputs!$B$54,Inputs!$B$52+Inputs!$B$53,Inputs!$B$52+Inputs!$B$53*(1.5*K109/Inputs!$B$54-0.5*(K109/Inputs!$B$54)^3)),Inputs!$B$52+Inputs!$B$53*(1-EXP(-3*K109/Inputs!$B$54)),Inputs!$B$52+Inputs!$B$53*(1-EXP(-3*(K109/Inputs!$B$54)^2))))</f>
        <v>0.15000000000000002</v>
      </c>
      <c r="L155" s="48">
        <f>IF(L109=0,0,CHOOSE(Inputs!$B$51,IF(L109&gt;=Inputs!$B$54,Inputs!$B$52+Inputs!$B$53,Inputs!$B$52+Inputs!$B$53*(1.5*L109/Inputs!$B$54-0.5*(L109/Inputs!$B$54)^3)),Inputs!$B$52+Inputs!$B$53*(1-EXP(-3*L109/Inputs!$B$54)),Inputs!$B$52+Inputs!$B$53*(1-EXP(-3*(L109/Inputs!$B$54)^2))))</f>
        <v>0.15000000000000002</v>
      </c>
      <c r="M155" s="48">
        <f>IF(M109=0,0,CHOOSE(Inputs!$B$51,IF(M109&gt;=Inputs!$B$54,Inputs!$B$52+Inputs!$B$53,Inputs!$B$52+Inputs!$B$53*(1.5*M109/Inputs!$B$54-0.5*(M109/Inputs!$B$54)^3)),Inputs!$B$52+Inputs!$B$53*(1-EXP(-3*M109/Inputs!$B$54)),Inputs!$B$52+Inputs!$B$53*(1-EXP(-3*(M109/Inputs!$B$54)^2))))</f>
        <v>0.14187184335382291</v>
      </c>
      <c r="N155" s="48">
        <f>IF(N109=0,0,CHOOSE(Inputs!$B$51,IF(N109&gt;=Inputs!$B$54,Inputs!$B$52+Inputs!$B$53,Inputs!$B$52+Inputs!$B$53*(1.5*N109/Inputs!$B$54-0.5*(N109/Inputs!$B$54)^3)),Inputs!$B$52+Inputs!$B$53*(1-EXP(-3*N109/Inputs!$B$54)),Inputs!$B$52+Inputs!$B$53*(1-EXP(-3*(N109/Inputs!$B$54)^2))))</f>
        <v>0.12812499999999999</v>
      </c>
      <c r="O155" s="48">
        <f>IF(O109=0,0,CHOOSE(Inputs!$B$51,IF(O109&gt;=Inputs!$B$54,Inputs!$B$52+Inputs!$B$53,Inputs!$B$52+Inputs!$B$53*(1.5*O109/Inputs!$B$54-0.5*(O109/Inputs!$B$54)^3)),Inputs!$B$52+Inputs!$B$53*(1-EXP(-3*O109/Inputs!$B$54)),Inputs!$B$52+Inputs!$B$53*(1-EXP(-3*(O109/Inputs!$B$54)^2))))</f>
        <v>0.14187184335382291</v>
      </c>
      <c r="P155" s="48">
        <f>IF(P109=0,0,CHOOSE(Inputs!$B$51,IF(P109&gt;=Inputs!$B$54,Inputs!$B$52+Inputs!$B$53,Inputs!$B$52+Inputs!$B$53*(1.5*P109/Inputs!$B$54-0.5*(P109/Inputs!$B$54)^3)),Inputs!$B$52+Inputs!$B$53*(1-EXP(-3*P109/Inputs!$B$54)),Inputs!$B$52+Inputs!$B$53*(1-EXP(-3*(P109/Inputs!$B$54)^2))))</f>
        <v>0.15000000000000002</v>
      </c>
      <c r="Q155" s="48">
        <f>IF(Q109=0,0,CHOOSE(Inputs!$B$51,IF(Q109&gt;=Inputs!$B$54,Inputs!$B$52+Inputs!$B$53,Inputs!$B$52+Inputs!$B$53*(1.5*Q109/Inputs!$B$54-0.5*(Q109/Inputs!$B$54)^3)),Inputs!$B$52+Inputs!$B$53*(1-EXP(-3*Q109/Inputs!$B$54)),Inputs!$B$52+Inputs!$B$53*(1-EXP(-3*(Q109/Inputs!$B$54)^2))))</f>
        <v>0.15000000000000002</v>
      </c>
      <c r="R155" s="48">
        <f>IF(R109=0,0,CHOOSE(Inputs!$B$51,IF(R109&gt;=Inputs!$B$54,Inputs!$B$52+Inputs!$B$53,Inputs!$B$52+Inputs!$B$53*(1.5*R109/Inputs!$B$54-0.5*(R109/Inputs!$B$54)^3)),Inputs!$B$52+Inputs!$B$53*(1-EXP(-3*R109/Inputs!$B$54)),Inputs!$B$52+Inputs!$B$53*(1-EXP(-3*(R109/Inputs!$B$54)^2))))</f>
        <v>0.15000000000000002</v>
      </c>
      <c r="S155" s="48">
        <f>IF(S109=0,0,CHOOSE(Inputs!$B$51,IF(S109&gt;=Inputs!$B$54,Inputs!$B$52+Inputs!$B$53,Inputs!$B$52+Inputs!$B$53*(1.5*S109/Inputs!$B$54-0.5*(S109/Inputs!$B$54)^3)),Inputs!$B$52+Inputs!$B$53*(1-EXP(-3*S109/Inputs!$B$54)),Inputs!$B$52+Inputs!$B$53*(1-EXP(-3*(S109/Inputs!$B$54)^2))))</f>
        <v>0.15000000000000002</v>
      </c>
      <c r="T155" s="48">
        <f>IF(T109=0,0,CHOOSE(Inputs!$B$51,IF(T109&gt;=Inputs!$B$54,Inputs!$B$52+Inputs!$B$53,Inputs!$B$52+Inputs!$B$53*(1.5*T109/Inputs!$B$54-0.5*(T109/Inputs!$B$54)^3)),Inputs!$B$52+Inputs!$B$53*(1-EXP(-3*T109/Inputs!$B$54)),Inputs!$B$52+Inputs!$B$53*(1-EXP(-3*(T109/Inputs!$B$54)^2))))</f>
        <v>0.15000000000000002</v>
      </c>
      <c r="U155" s="48">
        <f>IF(U109=0,0,CHOOSE(Inputs!$B$51,IF(U109&gt;=Inputs!$B$54,Inputs!$B$52+Inputs!$B$53,Inputs!$B$52+Inputs!$B$53*(1.5*U109/Inputs!$B$54-0.5*(U109/Inputs!$B$54)^3)),Inputs!$B$52+Inputs!$B$53*(1-EXP(-3*U109/Inputs!$B$54)),Inputs!$B$52+Inputs!$B$53*(1-EXP(-3*(U109/Inputs!$B$54)^2))))</f>
        <v>0.15000000000000002</v>
      </c>
      <c r="V155" s="51">
        <v>1</v>
      </c>
      <c r="X155" s="48">
        <f>IF(V109=0,0,CHOOSE(Inputs!$B$51,IF(V109&gt;=Inputs!$B$54,Inputs!$B$52+Inputs!$B$53,Inputs!$B$52+Inputs!$B$53*(1.5*V109/Inputs!$B$54-0.5*(V109/Inputs!$B$54)^3)),Inputs!$B$52+Inputs!$B$53*(1-EXP(-3*V109/Inputs!$B$54)),Inputs!$B$52+Inputs!$B$53*(1-EXP(-3*(V109/Inputs!$B$54)^2))))</f>
        <v>0.11557630992844818</v>
      </c>
      <c r="Y155" s="60">
        <v>0.18789834142526785</v>
      </c>
    </row>
    <row r="156" spans="1:25" x14ac:dyDescent="0.4">
      <c r="A156" s="41" t="str">
        <f>$A$14</f>
        <v>B4</v>
      </c>
      <c r="B156" s="48">
        <f>IF(B110=0,0,CHOOSE(Inputs!$B$51,IF(B110&gt;=Inputs!$B$54,Inputs!$B$52+Inputs!$B$53,Inputs!$B$52+Inputs!$B$53*(1.5*B110/Inputs!$B$54-0.5*(B110/Inputs!$B$54)^3)),Inputs!$B$52+Inputs!$B$53*(1-EXP(-3*B110/Inputs!$B$54)),Inputs!$B$52+Inputs!$B$53*(1-EXP(-3*(B110/Inputs!$B$54)^2))))</f>
        <v>0.15000000000000002</v>
      </c>
      <c r="C156" s="48">
        <f>IF(C110=0,0,CHOOSE(Inputs!$B$51,IF(C110&gt;=Inputs!$B$54,Inputs!$B$52+Inputs!$B$53,Inputs!$B$52+Inputs!$B$53*(1.5*C110/Inputs!$B$54-0.5*(C110/Inputs!$B$54)^3)),Inputs!$B$52+Inputs!$B$53*(1-EXP(-3*C110/Inputs!$B$54)),Inputs!$B$52+Inputs!$B$53*(1-EXP(-3*(C110/Inputs!$B$54)^2))))</f>
        <v>0.15000000000000002</v>
      </c>
      <c r="D156" s="48">
        <f>IF(D110=0,0,CHOOSE(Inputs!$B$51,IF(D110&gt;=Inputs!$B$54,Inputs!$B$52+Inputs!$B$53,Inputs!$B$52+Inputs!$B$53*(1.5*D110/Inputs!$B$54-0.5*(D110/Inputs!$B$54)^3)),Inputs!$B$52+Inputs!$B$53*(1-EXP(-3*D110/Inputs!$B$54)),Inputs!$B$52+Inputs!$B$53*(1-EXP(-3*(D110/Inputs!$B$54)^2))))</f>
        <v>0.14187184335382291</v>
      </c>
      <c r="E156" s="48">
        <f>IF(E110=0,0,CHOOSE(Inputs!$B$51,IF(E110&gt;=Inputs!$B$54,Inputs!$B$52+Inputs!$B$53,Inputs!$B$52+Inputs!$B$53*(1.5*E110/Inputs!$B$54-0.5*(E110/Inputs!$B$54)^3)),Inputs!$B$52+Inputs!$B$53*(1-EXP(-3*E110/Inputs!$B$54)),Inputs!$B$52+Inputs!$B$53*(1-EXP(-3*(E110/Inputs!$B$54)^2))))</f>
        <v>0.12812499999999999</v>
      </c>
      <c r="F156" s="48">
        <f>IF(F110=0,0,CHOOSE(Inputs!$B$51,IF(F110&gt;=Inputs!$B$54,Inputs!$B$52+Inputs!$B$53,Inputs!$B$52+Inputs!$B$53*(1.5*F110/Inputs!$B$54-0.5*(F110/Inputs!$B$54)^3)),Inputs!$B$52+Inputs!$B$53*(1-EXP(-3*F110/Inputs!$B$54)),Inputs!$B$52+Inputs!$B$53*(1-EXP(-3*(F110/Inputs!$B$54)^2))))</f>
        <v>0.14187184335382291</v>
      </c>
      <c r="G156" s="48">
        <f>IF(G110=0,0,CHOOSE(Inputs!$B$51,IF(G110&gt;=Inputs!$B$54,Inputs!$B$52+Inputs!$B$53,Inputs!$B$52+Inputs!$B$53*(1.5*G110/Inputs!$B$54-0.5*(G110/Inputs!$B$54)^3)),Inputs!$B$52+Inputs!$B$53*(1-EXP(-3*G110/Inputs!$B$54)),Inputs!$B$52+Inputs!$B$53*(1-EXP(-3*(G110/Inputs!$B$54)^2))))</f>
        <v>0.15000000000000002</v>
      </c>
      <c r="H156" s="48">
        <f>IF(H110=0,0,CHOOSE(Inputs!$B$51,IF(H110&gt;=Inputs!$B$54,Inputs!$B$52+Inputs!$B$53,Inputs!$B$52+Inputs!$B$53*(1.5*H110/Inputs!$B$54-0.5*(H110/Inputs!$B$54)^3)),Inputs!$B$52+Inputs!$B$53*(1-EXP(-3*H110/Inputs!$B$54)),Inputs!$B$52+Inputs!$B$53*(1-EXP(-3*(H110/Inputs!$B$54)^2))))</f>
        <v>0.15000000000000002</v>
      </c>
      <c r="I156" s="48">
        <f>IF(I110=0,0,CHOOSE(Inputs!$B$51,IF(I110&gt;=Inputs!$B$54,Inputs!$B$52+Inputs!$B$53,Inputs!$B$52+Inputs!$B$53*(1.5*I110/Inputs!$B$54-0.5*(I110/Inputs!$B$54)^3)),Inputs!$B$52+Inputs!$B$53*(1-EXP(-3*I110/Inputs!$B$54)),Inputs!$B$52+Inputs!$B$53*(1-EXP(-3*(I110/Inputs!$B$54)^2))))</f>
        <v>0.12812499999999999</v>
      </c>
      <c r="J156" s="48">
        <f>IF(J110=0,0,CHOOSE(Inputs!$B$51,IF(J110&gt;=Inputs!$B$54,Inputs!$B$52+Inputs!$B$53,Inputs!$B$52+Inputs!$B$53*(1.5*J110/Inputs!$B$54-0.5*(J110/Inputs!$B$54)^3)),Inputs!$B$52+Inputs!$B$53*(1-EXP(-3*J110/Inputs!$B$54)),Inputs!$B$52+Inputs!$B$53*(1-EXP(-3*(J110/Inputs!$B$54)^2))))</f>
        <v>0</v>
      </c>
      <c r="K156" s="48">
        <f>IF(K110=0,0,CHOOSE(Inputs!$B$51,IF(K110&gt;=Inputs!$B$54,Inputs!$B$52+Inputs!$B$53,Inputs!$B$52+Inputs!$B$53*(1.5*K110/Inputs!$B$54-0.5*(K110/Inputs!$B$54)^3)),Inputs!$B$52+Inputs!$B$53*(1-EXP(-3*K110/Inputs!$B$54)),Inputs!$B$52+Inputs!$B$53*(1-EXP(-3*(K110/Inputs!$B$54)^2))))</f>
        <v>0.12812499999999999</v>
      </c>
      <c r="L156" s="48">
        <f>IF(L110=0,0,CHOOSE(Inputs!$B$51,IF(L110&gt;=Inputs!$B$54,Inputs!$B$52+Inputs!$B$53,Inputs!$B$52+Inputs!$B$53*(1.5*L110/Inputs!$B$54-0.5*(L110/Inputs!$B$54)^3)),Inputs!$B$52+Inputs!$B$53*(1-EXP(-3*L110/Inputs!$B$54)),Inputs!$B$52+Inputs!$B$53*(1-EXP(-3*(L110/Inputs!$B$54)^2))))</f>
        <v>0.15000000000000002</v>
      </c>
      <c r="M156" s="48">
        <f>IF(M110=0,0,CHOOSE(Inputs!$B$51,IF(M110&gt;=Inputs!$B$54,Inputs!$B$52+Inputs!$B$53,Inputs!$B$52+Inputs!$B$53*(1.5*M110/Inputs!$B$54-0.5*(M110/Inputs!$B$54)^3)),Inputs!$B$52+Inputs!$B$53*(1-EXP(-3*M110/Inputs!$B$54)),Inputs!$B$52+Inputs!$B$53*(1-EXP(-3*(M110/Inputs!$B$54)^2))))</f>
        <v>0.15000000000000002</v>
      </c>
      <c r="N156" s="48">
        <f>IF(N110=0,0,CHOOSE(Inputs!$B$51,IF(N110&gt;=Inputs!$B$54,Inputs!$B$52+Inputs!$B$53,Inputs!$B$52+Inputs!$B$53*(1.5*N110/Inputs!$B$54-0.5*(N110/Inputs!$B$54)^3)),Inputs!$B$52+Inputs!$B$53*(1-EXP(-3*N110/Inputs!$B$54)),Inputs!$B$52+Inputs!$B$53*(1-EXP(-3*(N110/Inputs!$B$54)^2))))</f>
        <v>0.14187184335382291</v>
      </c>
      <c r="O156" s="48">
        <f>IF(O110=0,0,CHOOSE(Inputs!$B$51,IF(O110&gt;=Inputs!$B$54,Inputs!$B$52+Inputs!$B$53,Inputs!$B$52+Inputs!$B$53*(1.5*O110/Inputs!$B$54-0.5*(O110/Inputs!$B$54)^3)),Inputs!$B$52+Inputs!$B$53*(1-EXP(-3*O110/Inputs!$B$54)),Inputs!$B$52+Inputs!$B$53*(1-EXP(-3*(O110/Inputs!$B$54)^2))))</f>
        <v>0.12812499999999999</v>
      </c>
      <c r="P156" s="48">
        <f>IF(P110=0,0,CHOOSE(Inputs!$B$51,IF(P110&gt;=Inputs!$B$54,Inputs!$B$52+Inputs!$B$53,Inputs!$B$52+Inputs!$B$53*(1.5*P110/Inputs!$B$54-0.5*(P110/Inputs!$B$54)^3)),Inputs!$B$52+Inputs!$B$53*(1-EXP(-3*P110/Inputs!$B$54)),Inputs!$B$52+Inputs!$B$53*(1-EXP(-3*(P110/Inputs!$B$54)^2))))</f>
        <v>0.14187184335382291</v>
      </c>
      <c r="Q156" s="48">
        <f>IF(Q110=0,0,CHOOSE(Inputs!$B$51,IF(Q110&gt;=Inputs!$B$54,Inputs!$B$52+Inputs!$B$53,Inputs!$B$52+Inputs!$B$53*(1.5*Q110/Inputs!$B$54-0.5*(Q110/Inputs!$B$54)^3)),Inputs!$B$52+Inputs!$B$53*(1-EXP(-3*Q110/Inputs!$B$54)),Inputs!$B$52+Inputs!$B$53*(1-EXP(-3*(Q110/Inputs!$B$54)^2))))</f>
        <v>0.15000000000000002</v>
      </c>
      <c r="R156" s="48">
        <f>IF(R110=0,0,CHOOSE(Inputs!$B$51,IF(R110&gt;=Inputs!$B$54,Inputs!$B$52+Inputs!$B$53,Inputs!$B$52+Inputs!$B$53*(1.5*R110/Inputs!$B$54-0.5*(R110/Inputs!$B$54)^3)),Inputs!$B$52+Inputs!$B$53*(1-EXP(-3*R110/Inputs!$B$54)),Inputs!$B$52+Inputs!$B$53*(1-EXP(-3*(R110/Inputs!$B$54)^2))))</f>
        <v>0.15000000000000002</v>
      </c>
      <c r="S156" s="48">
        <f>IF(S110=0,0,CHOOSE(Inputs!$B$51,IF(S110&gt;=Inputs!$B$54,Inputs!$B$52+Inputs!$B$53,Inputs!$B$52+Inputs!$B$53*(1.5*S110/Inputs!$B$54-0.5*(S110/Inputs!$B$54)^3)),Inputs!$B$52+Inputs!$B$53*(1-EXP(-3*S110/Inputs!$B$54)),Inputs!$B$52+Inputs!$B$53*(1-EXP(-3*(S110/Inputs!$B$54)^2))))</f>
        <v>0.15000000000000002</v>
      </c>
      <c r="T156" s="48">
        <f>IF(T110=0,0,CHOOSE(Inputs!$B$51,IF(T110&gt;=Inputs!$B$54,Inputs!$B$52+Inputs!$B$53,Inputs!$B$52+Inputs!$B$53*(1.5*T110/Inputs!$B$54-0.5*(T110/Inputs!$B$54)^3)),Inputs!$B$52+Inputs!$B$53*(1-EXP(-3*T110/Inputs!$B$54)),Inputs!$B$52+Inputs!$B$53*(1-EXP(-3*(T110/Inputs!$B$54)^2))))</f>
        <v>0.15000000000000002</v>
      </c>
      <c r="U156" s="48">
        <f>IF(U110=0,0,CHOOSE(Inputs!$B$51,IF(U110&gt;=Inputs!$B$54,Inputs!$B$52+Inputs!$B$53,Inputs!$B$52+Inputs!$B$53*(1.5*U110/Inputs!$B$54-0.5*(U110/Inputs!$B$54)^3)),Inputs!$B$52+Inputs!$B$53*(1-EXP(-3*U110/Inputs!$B$54)),Inputs!$B$52+Inputs!$B$53*(1-EXP(-3*(U110/Inputs!$B$54)^2))))</f>
        <v>0.15000000000000002</v>
      </c>
      <c r="V156" s="51">
        <v>1</v>
      </c>
      <c r="X156" s="48">
        <f>IF(V110=0,0,CHOOSE(Inputs!$B$51,IF(V110&gt;=Inputs!$B$54,Inputs!$B$52+Inputs!$B$53,Inputs!$B$52+Inputs!$B$53*(1.5*V110/Inputs!$B$54-0.5*(V110/Inputs!$B$54)^3)),Inputs!$B$52+Inputs!$B$53*(1-EXP(-3*V110/Inputs!$B$54)),Inputs!$B$52+Inputs!$B$53*(1-EXP(-3*(V110/Inputs!$B$54)^2))))</f>
        <v>0.14571608262537417</v>
      </c>
      <c r="Y156" s="60">
        <v>1.0762132853023711E-2</v>
      </c>
    </row>
    <row r="157" spans="1:25" x14ac:dyDescent="0.4">
      <c r="A157" s="41" t="str">
        <f>$A$15</f>
        <v>B5</v>
      </c>
      <c r="B157" s="48">
        <f>IF(B111=0,0,CHOOSE(Inputs!$B$51,IF(B111&gt;=Inputs!$B$54,Inputs!$B$52+Inputs!$B$53,Inputs!$B$52+Inputs!$B$53*(1.5*B111/Inputs!$B$54-0.5*(B111/Inputs!$B$54)^3)),Inputs!$B$52+Inputs!$B$53*(1-EXP(-3*B111/Inputs!$B$54)),Inputs!$B$52+Inputs!$B$53*(1-EXP(-3*(B111/Inputs!$B$54)^2))))</f>
        <v>0.15000000000000002</v>
      </c>
      <c r="C157" s="48">
        <f>IF(C111=0,0,CHOOSE(Inputs!$B$51,IF(C111&gt;=Inputs!$B$54,Inputs!$B$52+Inputs!$B$53,Inputs!$B$52+Inputs!$B$53*(1.5*C111/Inputs!$B$54-0.5*(C111/Inputs!$B$54)^3)),Inputs!$B$52+Inputs!$B$53*(1-EXP(-3*C111/Inputs!$B$54)),Inputs!$B$52+Inputs!$B$53*(1-EXP(-3*(C111/Inputs!$B$54)^2))))</f>
        <v>0.15000000000000002</v>
      </c>
      <c r="D157" s="48">
        <f>IF(D111=0,0,CHOOSE(Inputs!$B$51,IF(D111&gt;=Inputs!$B$54,Inputs!$B$52+Inputs!$B$53,Inputs!$B$52+Inputs!$B$53*(1.5*D111/Inputs!$B$54-0.5*(D111/Inputs!$B$54)^3)),Inputs!$B$52+Inputs!$B$53*(1-EXP(-3*D111/Inputs!$B$54)),Inputs!$B$52+Inputs!$B$53*(1-EXP(-3*(D111/Inputs!$B$54)^2))))</f>
        <v>0.15000000000000002</v>
      </c>
      <c r="E157" s="48">
        <f>IF(E111=0,0,CHOOSE(Inputs!$B$51,IF(E111&gt;=Inputs!$B$54,Inputs!$B$52+Inputs!$B$53,Inputs!$B$52+Inputs!$B$53*(1.5*E111/Inputs!$B$54-0.5*(E111/Inputs!$B$54)^3)),Inputs!$B$52+Inputs!$B$53*(1-EXP(-3*E111/Inputs!$B$54)),Inputs!$B$52+Inputs!$B$53*(1-EXP(-3*(E111/Inputs!$B$54)^2))))</f>
        <v>0.14187184335382291</v>
      </c>
      <c r="F157" s="48">
        <f>IF(F111=0,0,CHOOSE(Inputs!$B$51,IF(F111&gt;=Inputs!$B$54,Inputs!$B$52+Inputs!$B$53,Inputs!$B$52+Inputs!$B$53*(1.5*F111/Inputs!$B$54-0.5*(F111/Inputs!$B$54)^3)),Inputs!$B$52+Inputs!$B$53*(1-EXP(-3*F111/Inputs!$B$54)),Inputs!$B$52+Inputs!$B$53*(1-EXP(-3*(F111/Inputs!$B$54)^2))))</f>
        <v>0.12812499999999999</v>
      </c>
      <c r="G157" s="48">
        <f>IF(G111=0,0,CHOOSE(Inputs!$B$51,IF(G111&gt;=Inputs!$B$54,Inputs!$B$52+Inputs!$B$53,Inputs!$B$52+Inputs!$B$53*(1.5*G111/Inputs!$B$54-0.5*(G111/Inputs!$B$54)^3)),Inputs!$B$52+Inputs!$B$53*(1-EXP(-3*G111/Inputs!$B$54)),Inputs!$B$52+Inputs!$B$53*(1-EXP(-3*(G111/Inputs!$B$54)^2))))</f>
        <v>0.15000000000000002</v>
      </c>
      <c r="H157" s="48">
        <f>IF(H111=0,0,CHOOSE(Inputs!$B$51,IF(H111&gt;=Inputs!$B$54,Inputs!$B$52+Inputs!$B$53,Inputs!$B$52+Inputs!$B$53*(1.5*H111/Inputs!$B$54-0.5*(H111/Inputs!$B$54)^3)),Inputs!$B$52+Inputs!$B$53*(1-EXP(-3*H111/Inputs!$B$54)),Inputs!$B$52+Inputs!$B$53*(1-EXP(-3*(H111/Inputs!$B$54)^2))))</f>
        <v>0.15000000000000002</v>
      </c>
      <c r="I157" s="48">
        <f>IF(I111=0,0,CHOOSE(Inputs!$B$51,IF(I111&gt;=Inputs!$B$54,Inputs!$B$52+Inputs!$B$53,Inputs!$B$52+Inputs!$B$53*(1.5*I111/Inputs!$B$54-0.5*(I111/Inputs!$B$54)^3)),Inputs!$B$52+Inputs!$B$53*(1-EXP(-3*I111/Inputs!$B$54)),Inputs!$B$52+Inputs!$B$53*(1-EXP(-3*(I111/Inputs!$B$54)^2))))</f>
        <v>0.15000000000000002</v>
      </c>
      <c r="J157" s="48">
        <f>IF(J111=0,0,CHOOSE(Inputs!$B$51,IF(J111&gt;=Inputs!$B$54,Inputs!$B$52+Inputs!$B$53,Inputs!$B$52+Inputs!$B$53*(1.5*J111/Inputs!$B$54-0.5*(J111/Inputs!$B$54)^3)),Inputs!$B$52+Inputs!$B$53*(1-EXP(-3*J111/Inputs!$B$54)),Inputs!$B$52+Inputs!$B$53*(1-EXP(-3*(J111/Inputs!$B$54)^2))))</f>
        <v>0.12812499999999999</v>
      </c>
      <c r="K157" s="48">
        <f>IF(K111=0,0,CHOOSE(Inputs!$B$51,IF(K111&gt;=Inputs!$B$54,Inputs!$B$52+Inputs!$B$53,Inputs!$B$52+Inputs!$B$53*(1.5*K111/Inputs!$B$54-0.5*(K111/Inputs!$B$54)^3)),Inputs!$B$52+Inputs!$B$53*(1-EXP(-3*K111/Inputs!$B$54)),Inputs!$B$52+Inputs!$B$53*(1-EXP(-3*(K111/Inputs!$B$54)^2))))</f>
        <v>0</v>
      </c>
      <c r="L157" s="48">
        <f>IF(L111=0,0,CHOOSE(Inputs!$B$51,IF(L111&gt;=Inputs!$B$54,Inputs!$B$52+Inputs!$B$53,Inputs!$B$52+Inputs!$B$53*(1.5*L111/Inputs!$B$54-0.5*(L111/Inputs!$B$54)^3)),Inputs!$B$52+Inputs!$B$53*(1-EXP(-3*L111/Inputs!$B$54)),Inputs!$B$52+Inputs!$B$53*(1-EXP(-3*(L111/Inputs!$B$54)^2))))</f>
        <v>0.15000000000000002</v>
      </c>
      <c r="M157" s="48">
        <f>IF(M111=0,0,CHOOSE(Inputs!$B$51,IF(M111&gt;=Inputs!$B$54,Inputs!$B$52+Inputs!$B$53,Inputs!$B$52+Inputs!$B$53*(1.5*M111/Inputs!$B$54-0.5*(M111/Inputs!$B$54)^3)),Inputs!$B$52+Inputs!$B$53*(1-EXP(-3*M111/Inputs!$B$54)),Inputs!$B$52+Inputs!$B$53*(1-EXP(-3*(M111/Inputs!$B$54)^2))))</f>
        <v>0.15000000000000002</v>
      </c>
      <c r="N157" s="48">
        <f>IF(N111=0,0,CHOOSE(Inputs!$B$51,IF(N111&gt;=Inputs!$B$54,Inputs!$B$52+Inputs!$B$53,Inputs!$B$52+Inputs!$B$53*(1.5*N111/Inputs!$B$54-0.5*(N111/Inputs!$B$54)^3)),Inputs!$B$52+Inputs!$B$53*(1-EXP(-3*N111/Inputs!$B$54)),Inputs!$B$52+Inputs!$B$53*(1-EXP(-3*(N111/Inputs!$B$54)^2))))</f>
        <v>0.15000000000000002</v>
      </c>
      <c r="O157" s="48">
        <f>IF(O111=0,0,CHOOSE(Inputs!$B$51,IF(O111&gt;=Inputs!$B$54,Inputs!$B$52+Inputs!$B$53,Inputs!$B$52+Inputs!$B$53*(1.5*O111/Inputs!$B$54-0.5*(O111/Inputs!$B$54)^3)),Inputs!$B$52+Inputs!$B$53*(1-EXP(-3*O111/Inputs!$B$54)),Inputs!$B$52+Inputs!$B$53*(1-EXP(-3*(O111/Inputs!$B$54)^2))))</f>
        <v>0.14187184335382291</v>
      </c>
      <c r="P157" s="48">
        <f>IF(P111=0,0,CHOOSE(Inputs!$B$51,IF(P111&gt;=Inputs!$B$54,Inputs!$B$52+Inputs!$B$53,Inputs!$B$52+Inputs!$B$53*(1.5*P111/Inputs!$B$54-0.5*(P111/Inputs!$B$54)^3)),Inputs!$B$52+Inputs!$B$53*(1-EXP(-3*P111/Inputs!$B$54)),Inputs!$B$52+Inputs!$B$53*(1-EXP(-3*(P111/Inputs!$B$54)^2))))</f>
        <v>0.12812499999999999</v>
      </c>
      <c r="Q157" s="48">
        <f>IF(Q111=0,0,CHOOSE(Inputs!$B$51,IF(Q111&gt;=Inputs!$B$54,Inputs!$B$52+Inputs!$B$53,Inputs!$B$52+Inputs!$B$53*(1.5*Q111/Inputs!$B$54-0.5*(Q111/Inputs!$B$54)^3)),Inputs!$B$52+Inputs!$B$53*(1-EXP(-3*Q111/Inputs!$B$54)),Inputs!$B$52+Inputs!$B$53*(1-EXP(-3*(Q111/Inputs!$B$54)^2))))</f>
        <v>0.15000000000000002</v>
      </c>
      <c r="R157" s="48">
        <f>IF(R111=0,0,CHOOSE(Inputs!$B$51,IF(R111&gt;=Inputs!$B$54,Inputs!$B$52+Inputs!$B$53,Inputs!$B$52+Inputs!$B$53*(1.5*R111/Inputs!$B$54-0.5*(R111/Inputs!$B$54)^3)),Inputs!$B$52+Inputs!$B$53*(1-EXP(-3*R111/Inputs!$B$54)),Inputs!$B$52+Inputs!$B$53*(1-EXP(-3*(R111/Inputs!$B$54)^2))))</f>
        <v>0.15000000000000002</v>
      </c>
      <c r="S157" s="48">
        <f>IF(S111=0,0,CHOOSE(Inputs!$B$51,IF(S111&gt;=Inputs!$B$54,Inputs!$B$52+Inputs!$B$53,Inputs!$B$52+Inputs!$B$53*(1.5*S111/Inputs!$B$54-0.5*(S111/Inputs!$B$54)^3)),Inputs!$B$52+Inputs!$B$53*(1-EXP(-3*S111/Inputs!$B$54)),Inputs!$B$52+Inputs!$B$53*(1-EXP(-3*(S111/Inputs!$B$54)^2))))</f>
        <v>0.15000000000000002</v>
      </c>
      <c r="T157" s="48">
        <f>IF(T111=0,0,CHOOSE(Inputs!$B$51,IF(T111&gt;=Inputs!$B$54,Inputs!$B$52+Inputs!$B$53,Inputs!$B$52+Inputs!$B$53*(1.5*T111/Inputs!$B$54-0.5*(T111/Inputs!$B$54)^3)),Inputs!$B$52+Inputs!$B$53*(1-EXP(-3*T111/Inputs!$B$54)),Inputs!$B$52+Inputs!$B$53*(1-EXP(-3*(T111/Inputs!$B$54)^2))))</f>
        <v>0.15000000000000002</v>
      </c>
      <c r="U157" s="48">
        <f>IF(U111=0,0,CHOOSE(Inputs!$B$51,IF(U111&gt;=Inputs!$B$54,Inputs!$B$52+Inputs!$B$53,Inputs!$B$52+Inputs!$B$53*(1.5*U111/Inputs!$B$54-0.5*(U111/Inputs!$B$54)^3)),Inputs!$B$52+Inputs!$B$53*(1-EXP(-3*U111/Inputs!$B$54)),Inputs!$B$52+Inputs!$B$53*(1-EXP(-3*(U111/Inputs!$B$54)^2))))</f>
        <v>0.15000000000000002</v>
      </c>
      <c r="V157" s="51">
        <v>1</v>
      </c>
      <c r="X157" s="48">
        <f>IF(V111=0,0,CHOOSE(Inputs!$B$51,IF(V111&gt;=Inputs!$B$54,Inputs!$B$52+Inputs!$B$53,Inputs!$B$52+Inputs!$B$53*(1.5*V111/Inputs!$B$54-0.5*(V111/Inputs!$B$54)^3)),Inputs!$B$52+Inputs!$B$53*(1-EXP(-3*V111/Inputs!$B$54)),Inputs!$B$52+Inputs!$B$53*(1-EXP(-3*(V111/Inputs!$B$54)^2))))</f>
        <v>0.15000000000000002</v>
      </c>
      <c r="Y157" s="60">
        <v>1.9885590944834403E-2</v>
      </c>
    </row>
    <row r="158" spans="1:25" x14ac:dyDescent="0.4">
      <c r="A158" s="41" t="str">
        <f>$A$16</f>
        <v>C1</v>
      </c>
      <c r="B158" s="48">
        <f>IF(B112=0,0,CHOOSE(Inputs!$B$51,IF(B112&gt;=Inputs!$B$54,Inputs!$B$52+Inputs!$B$53,Inputs!$B$52+Inputs!$B$53*(1.5*B112/Inputs!$B$54-0.5*(B112/Inputs!$B$54)^3)),Inputs!$B$52+Inputs!$B$53*(1-EXP(-3*B112/Inputs!$B$54)),Inputs!$B$52+Inputs!$B$53*(1-EXP(-3*(B112/Inputs!$B$54)^2))))</f>
        <v>0.15000000000000002</v>
      </c>
      <c r="C158" s="48">
        <f>IF(C112=0,0,CHOOSE(Inputs!$B$51,IF(C112&gt;=Inputs!$B$54,Inputs!$B$52+Inputs!$B$53,Inputs!$B$52+Inputs!$B$53*(1.5*C112/Inputs!$B$54-0.5*(C112/Inputs!$B$54)^3)),Inputs!$B$52+Inputs!$B$53*(1-EXP(-3*C112/Inputs!$B$54)),Inputs!$B$52+Inputs!$B$53*(1-EXP(-3*(C112/Inputs!$B$54)^2))))</f>
        <v>0.15000000000000002</v>
      </c>
      <c r="D158" s="48">
        <f>IF(D112=0,0,CHOOSE(Inputs!$B$51,IF(D112&gt;=Inputs!$B$54,Inputs!$B$52+Inputs!$B$53,Inputs!$B$52+Inputs!$B$53*(1.5*D112/Inputs!$B$54-0.5*(D112/Inputs!$B$54)^3)),Inputs!$B$52+Inputs!$B$53*(1-EXP(-3*D112/Inputs!$B$54)),Inputs!$B$52+Inputs!$B$53*(1-EXP(-3*(D112/Inputs!$B$54)^2))))</f>
        <v>0.15000000000000002</v>
      </c>
      <c r="E158" s="48">
        <f>IF(E112=0,0,CHOOSE(Inputs!$B$51,IF(E112&gt;=Inputs!$B$54,Inputs!$B$52+Inputs!$B$53,Inputs!$B$52+Inputs!$B$53*(1.5*E112/Inputs!$B$54-0.5*(E112/Inputs!$B$54)^3)),Inputs!$B$52+Inputs!$B$53*(1-EXP(-3*E112/Inputs!$B$54)),Inputs!$B$52+Inputs!$B$53*(1-EXP(-3*(E112/Inputs!$B$54)^2))))</f>
        <v>0.15000000000000002</v>
      </c>
      <c r="F158" s="48">
        <f>IF(F112=0,0,CHOOSE(Inputs!$B$51,IF(F112&gt;=Inputs!$B$54,Inputs!$B$52+Inputs!$B$53,Inputs!$B$52+Inputs!$B$53*(1.5*F112/Inputs!$B$54-0.5*(F112/Inputs!$B$54)^3)),Inputs!$B$52+Inputs!$B$53*(1-EXP(-3*F112/Inputs!$B$54)),Inputs!$B$52+Inputs!$B$53*(1-EXP(-3*(F112/Inputs!$B$54)^2))))</f>
        <v>0.15000000000000002</v>
      </c>
      <c r="G158" s="48">
        <f>IF(G112=0,0,CHOOSE(Inputs!$B$51,IF(G112&gt;=Inputs!$B$54,Inputs!$B$52+Inputs!$B$53,Inputs!$B$52+Inputs!$B$53*(1.5*G112/Inputs!$B$54-0.5*(G112/Inputs!$B$54)^3)),Inputs!$B$52+Inputs!$B$53*(1-EXP(-3*G112/Inputs!$B$54)),Inputs!$B$52+Inputs!$B$53*(1-EXP(-3*(G112/Inputs!$B$54)^2))))</f>
        <v>0.12812499999999999</v>
      </c>
      <c r="H158" s="48">
        <f>IF(H112=0,0,CHOOSE(Inputs!$B$51,IF(H112&gt;=Inputs!$B$54,Inputs!$B$52+Inputs!$B$53,Inputs!$B$52+Inputs!$B$53*(1.5*H112/Inputs!$B$54-0.5*(H112/Inputs!$B$54)^3)),Inputs!$B$52+Inputs!$B$53*(1-EXP(-3*H112/Inputs!$B$54)),Inputs!$B$52+Inputs!$B$53*(1-EXP(-3*(H112/Inputs!$B$54)^2))))</f>
        <v>0.14187184335382291</v>
      </c>
      <c r="I158" s="48">
        <f>IF(I112=0,0,CHOOSE(Inputs!$B$51,IF(I112&gt;=Inputs!$B$54,Inputs!$B$52+Inputs!$B$53,Inputs!$B$52+Inputs!$B$53*(1.5*I112/Inputs!$B$54-0.5*(I112/Inputs!$B$54)^3)),Inputs!$B$52+Inputs!$B$53*(1-EXP(-3*I112/Inputs!$B$54)),Inputs!$B$52+Inputs!$B$53*(1-EXP(-3*(I112/Inputs!$B$54)^2))))</f>
        <v>0.15000000000000002</v>
      </c>
      <c r="J158" s="48">
        <f>IF(J112=0,0,CHOOSE(Inputs!$B$51,IF(J112&gt;=Inputs!$B$54,Inputs!$B$52+Inputs!$B$53,Inputs!$B$52+Inputs!$B$53*(1.5*J112/Inputs!$B$54-0.5*(J112/Inputs!$B$54)^3)),Inputs!$B$52+Inputs!$B$53*(1-EXP(-3*J112/Inputs!$B$54)),Inputs!$B$52+Inputs!$B$53*(1-EXP(-3*(J112/Inputs!$B$54)^2))))</f>
        <v>0.15000000000000002</v>
      </c>
      <c r="K158" s="48">
        <f>IF(K112=0,0,CHOOSE(Inputs!$B$51,IF(K112&gt;=Inputs!$B$54,Inputs!$B$52+Inputs!$B$53,Inputs!$B$52+Inputs!$B$53*(1.5*K112/Inputs!$B$54-0.5*(K112/Inputs!$B$54)^3)),Inputs!$B$52+Inputs!$B$53*(1-EXP(-3*K112/Inputs!$B$54)),Inputs!$B$52+Inputs!$B$53*(1-EXP(-3*(K112/Inputs!$B$54)^2))))</f>
        <v>0.15000000000000002</v>
      </c>
      <c r="L158" s="48">
        <f>IF(L112=0,0,CHOOSE(Inputs!$B$51,IF(L112&gt;=Inputs!$B$54,Inputs!$B$52+Inputs!$B$53,Inputs!$B$52+Inputs!$B$53*(1.5*L112/Inputs!$B$54-0.5*(L112/Inputs!$B$54)^3)),Inputs!$B$52+Inputs!$B$53*(1-EXP(-3*L112/Inputs!$B$54)),Inputs!$B$52+Inputs!$B$53*(1-EXP(-3*(L112/Inputs!$B$54)^2))))</f>
        <v>0</v>
      </c>
      <c r="M158" s="48">
        <f>IF(M112=0,0,CHOOSE(Inputs!$B$51,IF(M112&gt;=Inputs!$B$54,Inputs!$B$52+Inputs!$B$53,Inputs!$B$52+Inputs!$B$53*(1.5*M112/Inputs!$B$54-0.5*(M112/Inputs!$B$54)^3)),Inputs!$B$52+Inputs!$B$53*(1-EXP(-3*M112/Inputs!$B$54)),Inputs!$B$52+Inputs!$B$53*(1-EXP(-3*(M112/Inputs!$B$54)^2))))</f>
        <v>0.12812499999999999</v>
      </c>
      <c r="N158" s="48">
        <f>IF(N112=0,0,CHOOSE(Inputs!$B$51,IF(N112&gt;=Inputs!$B$54,Inputs!$B$52+Inputs!$B$53,Inputs!$B$52+Inputs!$B$53*(1.5*N112/Inputs!$B$54-0.5*(N112/Inputs!$B$54)^3)),Inputs!$B$52+Inputs!$B$53*(1-EXP(-3*N112/Inputs!$B$54)),Inputs!$B$52+Inputs!$B$53*(1-EXP(-3*(N112/Inputs!$B$54)^2))))</f>
        <v>0.15000000000000002</v>
      </c>
      <c r="O158" s="48">
        <f>IF(O112=0,0,CHOOSE(Inputs!$B$51,IF(O112&gt;=Inputs!$B$54,Inputs!$B$52+Inputs!$B$53,Inputs!$B$52+Inputs!$B$53*(1.5*O112/Inputs!$B$54-0.5*(O112/Inputs!$B$54)^3)),Inputs!$B$52+Inputs!$B$53*(1-EXP(-3*O112/Inputs!$B$54)),Inputs!$B$52+Inputs!$B$53*(1-EXP(-3*(O112/Inputs!$B$54)^2))))</f>
        <v>0.15000000000000002</v>
      </c>
      <c r="P158" s="48">
        <f>IF(P112=0,0,CHOOSE(Inputs!$B$51,IF(P112&gt;=Inputs!$B$54,Inputs!$B$52+Inputs!$B$53,Inputs!$B$52+Inputs!$B$53*(1.5*P112/Inputs!$B$54-0.5*(P112/Inputs!$B$54)^3)),Inputs!$B$52+Inputs!$B$53*(1-EXP(-3*P112/Inputs!$B$54)),Inputs!$B$52+Inputs!$B$53*(1-EXP(-3*(P112/Inputs!$B$54)^2))))</f>
        <v>0.15000000000000002</v>
      </c>
      <c r="Q158" s="48">
        <f>IF(Q112=0,0,CHOOSE(Inputs!$B$51,IF(Q112&gt;=Inputs!$B$54,Inputs!$B$52+Inputs!$B$53,Inputs!$B$52+Inputs!$B$53*(1.5*Q112/Inputs!$B$54-0.5*(Q112/Inputs!$B$54)^3)),Inputs!$B$52+Inputs!$B$53*(1-EXP(-3*Q112/Inputs!$B$54)),Inputs!$B$52+Inputs!$B$53*(1-EXP(-3*(Q112/Inputs!$B$54)^2))))</f>
        <v>0.12812499999999999</v>
      </c>
      <c r="R158" s="48">
        <f>IF(R112=0,0,CHOOSE(Inputs!$B$51,IF(R112&gt;=Inputs!$B$54,Inputs!$B$52+Inputs!$B$53,Inputs!$B$52+Inputs!$B$53*(1.5*R112/Inputs!$B$54-0.5*(R112/Inputs!$B$54)^3)),Inputs!$B$52+Inputs!$B$53*(1-EXP(-3*R112/Inputs!$B$54)),Inputs!$B$52+Inputs!$B$53*(1-EXP(-3*(R112/Inputs!$B$54)^2))))</f>
        <v>0.14187184335382291</v>
      </c>
      <c r="S158" s="48">
        <f>IF(S112=0,0,CHOOSE(Inputs!$B$51,IF(S112&gt;=Inputs!$B$54,Inputs!$B$52+Inputs!$B$53,Inputs!$B$52+Inputs!$B$53*(1.5*S112/Inputs!$B$54-0.5*(S112/Inputs!$B$54)^3)),Inputs!$B$52+Inputs!$B$53*(1-EXP(-3*S112/Inputs!$B$54)),Inputs!$B$52+Inputs!$B$53*(1-EXP(-3*(S112/Inputs!$B$54)^2))))</f>
        <v>0.15000000000000002</v>
      </c>
      <c r="T158" s="48">
        <f>IF(T112=0,0,CHOOSE(Inputs!$B$51,IF(T112&gt;=Inputs!$B$54,Inputs!$B$52+Inputs!$B$53,Inputs!$B$52+Inputs!$B$53*(1.5*T112/Inputs!$B$54-0.5*(T112/Inputs!$B$54)^3)),Inputs!$B$52+Inputs!$B$53*(1-EXP(-3*T112/Inputs!$B$54)),Inputs!$B$52+Inputs!$B$53*(1-EXP(-3*(T112/Inputs!$B$54)^2))))</f>
        <v>0.15000000000000002</v>
      </c>
      <c r="U158" s="48">
        <f>IF(U112=0,0,CHOOSE(Inputs!$B$51,IF(U112&gt;=Inputs!$B$54,Inputs!$B$52+Inputs!$B$53,Inputs!$B$52+Inputs!$B$53*(1.5*U112/Inputs!$B$54-0.5*(U112/Inputs!$B$54)^3)),Inputs!$B$52+Inputs!$B$53*(1-EXP(-3*U112/Inputs!$B$54)),Inputs!$B$52+Inputs!$B$53*(1-EXP(-3*(U112/Inputs!$B$54)^2))))</f>
        <v>0.15000000000000002</v>
      </c>
      <c r="V158" s="51">
        <v>1</v>
      </c>
      <c r="X158" s="48">
        <f>IF(V112=0,0,CHOOSE(Inputs!$B$51,IF(V112&gt;=Inputs!$B$54,Inputs!$B$52+Inputs!$B$53,Inputs!$B$52+Inputs!$B$53*(1.5*V112/Inputs!$B$54-0.5*(V112/Inputs!$B$54)^3)),Inputs!$B$52+Inputs!$B$53*(1-EXP(-3*V112/Inputs!$B$54)),Inputs!$B$52+Inputs!$B$53*(1-EXP(-3*(V112/Inputs!$B$54)^2))))</f>
        <v>0.14571608262537417</v>
      </c>
      <c r="Y158" s="60">
        <v>1.5069146277069255E-2</v>
      </c>
    </row>
    <row r="159" spans="1:25" x14ac:dyDescent="0.4">
      <c r="A159" s="41" t="str">
        <f>$A$17</f>
        <v>C2</v>
      </c>
      <c r="B159" s="48">
        <f>IF(B113=0,0,CHOOSE(Inputs!$B$51,IF(B113&gt;=Inputs!$B$54,Inputs!$B$52+Inputs!$B$53,Inputs!$B$52+Inputs!$B$53*(1.5*B113/Inputs!$B$54-0.5*(B113/Inputs!$B$54)^3)),Inputs!$B$52+Inputs!$B$53*(1-EXP(-3*B113/Inputs!$B$54)),Inputs!$B$52+Inputs!$B$53*(1-EXP(-3*(B113/Inputs!$B$54)^2))))</f>
        <v>0.15000000000000002</v>
      </c>
      <c r="C159" s="48">
        <f>IF(C113=0,0,CHOOSE(Inputs!$B$51,IF(C113&gt;=Inputs!$B$54,Inputs!$B$52+Inputs!$B$53,Inputs!$B$52+Inputs!$B$53*(1.5*C113/Inputs!$B$54-0.5*(C113/Inputs!$B$54)^3)),Inputs!$B$52+Inputs!$B$53*(1-EXP(-3*C113/Inputs!$B$54)),Inputs!$B$52+Inputs!$B$53*(1-EXP(-3*(C113/Inputs!$B$54)^2))))</f>
        <v>0.15000000000000002</v>
      </c>
      <c r="D159" s="48">
        <f>IF(D113=0,0,CHOOSE(Inputs!$B$51,IF(D113&gt;=Inputs!$B$54,Inputs!$B$52+Inputs!$B$53,Inputs!$B$52+Inputs!$B$53*(1.5*D113/Inputs!$B$54-0.5*(D113/Inputs!$B$54)^3)),Inputs!$B$52+Inputs!$B$53*(1-EXP(-3*D113/Inputs!$B$54)),Inputs!$B$52+Inputs!$B$53*(1-EXP(-3*(D113/Inputs!$B$54)^2))))</f>
        <v>0.15000000000000002</v>
      </c>
      <c r="E159" s="48">
        <f>IF(E113=0,0,CHOOSE(Inputs!$B$51,IF(E113&gt;=Inputs!$B$54,Inputs!$B$52+Inputs!$B$53,Inputs!$B$52+Inputs!$B$53*(1.5*E113/Inputs!$B$54-0.5*(E113/Inputs!$B$54)^3)),Inputs!$B$52+Inputs!$B$53*(1-EXP(-3*E113/Inputs!$B$54)),Inputs!$B$52+Inputs!$B$53*(1-EXP(-3*(E113/Inputs!$B$54)^2))))</f>
        <v>0.15000000000000002</v>
      </c>
      <c r="F159" s="48">
        <f>IF(F113=0,0,CHOOSE(Inputs!$B$51,IF(F113&gt;=Inputs!$B$54,Inputs!$B$52+Inputs!$B$53,Inputs!$B$52+Inputs!$B$53*(1.5*F113/Inputs!$B$54-0.5*(F113/Inputs!$B$54)^3)),Inputs!$B$52+Inputs!$B$53*(1-EXP(-3*F113/Inputs!$B$54)),Inputs!$B$52+Inputs!$B$53*(1-EXP(-3*(F113/Inputs!$B$54)^2))))</f>
        <v>0.15000000000000002</v>
      </c>
      <c r="G159" s="48">
        <f>IF(G113=0,0,CHOOSE(Inputs!$B$51,IF(G113&gt;=Inputs!$B$54,Inputs!$B$52+Inputs!$B$53,Inputs!$B$52+Inputs!$B$53*(1.5*G113/Inputs!$B$54-0.5*(G113/Inputs!$B$54)^3)),Inputs!$B$52+Inputs!$B$53*(1-EXP(-3*G113/Inputs!$B$54)),Inputs!$B$52+Inputs!$B$53*(1-EXP(-3*(G113/Inputs!$B$54)^2))))</f>
        <v>0.14187184335382291</v>
      </c>
      <c r="H159" s="48">
        <f>IF(H113=0,0,CHOOSE(Inputs!$B$51,IF(H113&gt;=Inputs!$B$54,Inputs!$B$52+Inputs!$B$53,Inputs!$B$52+Inputs!$B$53*(1.5*H113/Inputs!$B$54-0.5*(H113/Inputs!$B$54)^3)),Inputs!$B$52+Inputs!$B$53*(1-EXP(-3*H113/Inputs!$B$54)),Inputs!$B$52+Inputs!$B$53*(1-EXP(-3*(H113/Inputs!$B$54)^2))))</f>
        <v>0.12812499999999999</v>
      </c>
      <c r="I159" s="48">
        <f>IF(I113=0,0,CHOOSE(Inputs!$B$51,IF(I113&gt;=Inputs!$B$54,Inputs!$B$52+Inputs!$B$53,Inputs!$B$52+Inputs!$B$53*(1.5*I113/Inputs!$B$54-0.5*(I113/Inputs!$B$54)^3)),Inputs!$B$52+Inputs!$B$53*(1-EXP(-3*I113/Inputs!$B$54)),Inputs!$B$52+Inputs!$B$53*(1-EXP(-3*(I113/Inputs!$B$54)^2))))</f>
        <v>0.14187184335382291</v>
      </c>
      <c r="J159" s="48">
        <f>IF(J113=0,0,CHOOSE(Inputs!$B$51,IF(J113&gt;=Inputs!$B$54,Inputs!$B$52+Inputs!$B$53,Inputs!$B$52+Inputs!$B$53*(1.5*J113/Inputs!$B$54-0.5*(J113/Inputs!$B$54)^3)),Inputs!$B$52+Inputs!$B$53*(1-EXP(-3*J113/Inputs!$B$54)),Inputs!$B$52+Inputs!$B$53*(1-EXP(-3*(J113/Inputs!$B$54)^2))))</f>
        <v>0.15000000000000002</v>
      </c>
      <c r="K159" s="48">
        <f>IF(K113=0,0,CHOOSE(Inputs!$B$51,IF(K113&gt;=Inputs!$B$54,Inputs!$B$52+Inputs!$B$53,Inputs!$B$52+Inputs!$B$53*(1.5*K113/Inputs!$B$54-0.5*(K113/Inputs!$B$54)^3)),Inputs!$B$52+Inputs!$B$53*(1-EXP(-3*K113/Inputs!$B$54)),Inputs!$B$52+Inputs!$B$53*(1-EXP(-3*(K113/Inputs!$B$54)^2))))</f>
        <v>0.15000000000000002</v>
      </c>
      <c r="L159" s="48">
        <f>IF(L113=0,0,CHOOSE(Inputs!$B$51,IF(L113&gt;=Inputs!$B$54,Inputs!$B$52+Inputs!$B$53,Inputs!$B$52+Inputs!$B$53*(1.5*L113/Inputs!$B$54-0.5*(L113/Inputs!$B$54)^3)),Inputs!$B$52+Inputs!$B$53*(1-EXP(-3*L113/Inputs!$B$54)),Inputs!$B$52+Inputs!$B$53*(1-EXP(-3*(L113/Inputs!$B$54)^2))))</f>
        <v>0.12812499999999999</v>
      </c>
      <c r="M159" s="48">
        <f>IF(M113=0,0,CHOOSE(Inputs!$B$51,IF(M113&gt;=Inputs!$B$54,Inputs!$B$52+Inputs!$B$53,Inputs!$B$52+Inputs!$B$53*(1.5*M113/Inputs!$B$54-0.5*(M113/Inputs!$B$54)^3)),Inputs!$B$52+Inputs!$B$53*(1-EXP(-3*M113/Inputs!$B$54)),Inputs!$B$52+Inputs!$B$53*(1-EXP(-3*(M113/Inputs!$B$54)^2))))</f>
        <v>0</v>
      </c>
      <c r="N159" s="48">
        <f>IF(N113=0,0,CHOOSE(Inputs!$B$51,IF(N113&gt;=Inputs!$B$54,Inputs!$B$52+Inputs!$B$53,Inputs!$B$52+Inputs!$B$53*(1.5*N113/Inputs!$B$54-0.5*(N113/Inputs!$B$54)^3)),Inputs!$B$52+Inputs!$B$53*(1-EXP(-3*N113/Inputs!$B$54)),Inputs!$B$52+Inputs!$B$53*(1-EXP(-3*(N113/Inputs!$B$54)^2))))</f>
        <v>0.12812499999999999</v>
      </c>
      <c r="O159" s="48">
        <f>IF(O113=0,0,CHOOSE(Inputs!$B$51,IF(O113&gt;=Inputs!$B$54,Inputs!$B$52+Inputs!$B$53,Inputs!$B$52+Inputs!$B$53*(1.5*O113/Inputs!$B$54-0.5*(O113/Inputs!$B$54)^3)),Inputs!$B$52+Inputs!$B$53*(1-EXP(-3*O113/Inputs!$B$54)),Inputs!$B$52+Inputs!$B$53*(1-EXP(-3*(O113/Inputs!$B$54)^2))))</f>
        <v>0.15000000000000002</v>
      </c>
      <c r="P159" s="48">
        <f>IF(P113=0,0,CHOOSE(Inputs!$B$51,IF(P113&gt;=Inputs!$B$54,Inputs!$B$52+Inputs!$B$53,Inputs!$B$52+Inputs!$B$53*(1.5*P113/Inputs!$B$54-0.5*(P113/Inputs!$B$54)^3)),Inputs!$B$52+Inputs!$B$53*(1-EXP(-3*P113/Inputs!$B$54)),Inputs!$B$52+Inputs!$B$53*(1-EXP(-3*(P113/Inputs!$B$54)^2))))</f>
        <v>0.15000000000000002</v>
      </c>
      <c r="Q159" s="48">
        <f>IF(Q113=0,0,CHOOSE(Inputs!$B$51,IF(Q113&gt;=Inputs!$B$54,Inputs!$B$52+Inputs!$B$53,Inputs!$B$52+Inputs!$B$53*(1.5*Q113/Inputs!$B$54-0.5*(Q113/Inputs!$B$54)^3)),Inputs!$B$52+Inputs!$B$53*(1-EXP(-3*Q113/Inputs!$B$54)),Inputs!$B$52+Inputs!$B$53*(1-EXP(-3*(Q113/Inputs!$B$54)^2))))</f>
        <v>0.14187184335382291</v>
      </c>
      <c r="R159" s="48">
        <f>IF(R113=0,0,CHOOSE(Inputs!$B$51,IF(R113&gt;=Inputs!$B$54,Inputs!$B$52+Inputs!$B$53,Inputs!$B$52+Inputs!$B$53*(1.5*R113/Inputs!$B$54-0.5*(R113/Inputs!$B$54)^3)),Inputs!$B$52+Inputs!$B$53*(1-EXP(-3*R113/Inputs!$B$54)),Inputs!$B$52+Inputs!$B$53*(1-EXP(-3*(R113/Inputs!$B$54)^2))))</f>
        <v>0.12812499999999999</v>
      </c>
      <c r="S159" s="48">
        <f>IF(S113=0,0,CHOOSE(Inputs!$B$51,IF(S113&gt;=Inputs!$B$54,Inputs!$B$52+Inputs!$B$53,Inputs!$B$52+Inputs!$B$53*(1.5*S113/Inputs!$B$54-0.5*(S113/Inputs!$B$54)^3)),Inputs!$B$52+Inputs!$B$53*(1-EXP(-3*S113/Inputs!$B$54)),Inputs!$B$52+Inputs!$B$53*(1-EXP(-3*(S113/Inputs!$B$54)^2))))</f>
        <v>0.14187184335382291</v>
      </c>
      <c r="T159" s="48">
        <f>IF(T113=0,0,CHOOSE(Inputs!$B$51,IF(T113&gt;=Inputs!$B$54,Inputs!$B$52+Inputs!$B$53,Inputs!$B$52+Inputs!$B$53*(1.5*T113/Inputs!$B$54-0.5*(T113/Inputs!$B$54)^3)),Inputs!$B$52+Inputs!$B$53*(1-EXP(-3*T113/Inputs!$B$54)),Inputs!$B$52+Inputs!$B$53*(1-EXP(-3*(T113/Inputs!$B$54)^2))))</f>
        <v>0.15000000000000002</v>
      </c>
      <c r="U159" s="48">
        <f>IF(U113=0,0,CHOOSE(Inputs!$B$51,IF(U113&gt;=Inputs!$B$54,Inputs!$B$52+Inputs!$B$53,Inputs!$B$52+Inputs!$B$53*(1.5*U113/Inputs!$B$54-0.5*(U113/Inputs!$B$54)^3)),Inputs!$B$52+Inputs!$B$53*(1-EXP(-3*U113/Inputs!$B$54)),Inputs!$B$52+Inputs!$B$53*(1-EXP(-3*(U113/Inputs!$B$54)^2))))</f>
        <v>0.15000000000000002</v>
      </c>
      <c r="V159" s="51">
        <v>1</v>
      </c>
      <c r="X159" s="48">
        <f>IF(V113=0,0,CHOOSE(Inputs!$B$51,IF(V113&gt;=Inputs!$B$54,Inputs!$B$52+Inputs!$B$53,Inputs!$B$52+Inputs!$B$53*(1.5*V113/Inputs!$B$54-0.5*(V113/Inputs!$B$54)^3)),Inputs!$B$52+Inputs!$B$53*(1-EXP(-3*V113/Inputs!$B$54)),Inputs!$B$52+Inputs!$B$53*(1-EXP(-3*(V113/Inputs!$B$54)^2))))</f>
        <v>0.11557630992844818</v>
      </c>
      <c r="Y159" s="60">
        <v>0.18683444993217591</v>
      </c>
    </row>
    <row r="160" spans="1:25" x14ac:dyDescent="0.4">
      <c r="A160" s="41" t="str">
        <f>$A$18</f>
        <v>C3</v>
      </c>
      <c r="B160" s="48">
        <f>IF(B114=0,0,CHOOSE(Inputs!$B$51,IF(B114&gt;=Inputs!$B$54,Inputs!$B$52+Inputs!$B$53,Inputs!$B$52+Inputs!$B$53*(1.5*B114/Inputs!$B$54-0.5*(B114/Inputs!$B$54)^3)),Inputs!$B$52+Inputs!$B$53*(1-EXP(-3*B114/Inputs!$B$54)),Inputs!$B$52+Inputs!$B$53*(1-EXP(-3*(B114/Inputs!$B$54)^2))))</f>
        <v>0.15000000000000002</v>
      </c>
      <c r="C160" s="48">
        <f>IF(C114=0,0,CHOOSE(Inputs!$B$51,IF(C114&gt;=Inputs!$B$54,Inputs!$B$52+Inputs!$B$53,Inputs!$B$52+Inputs!$B$53*(1.5*C114/Inputs!$B$54-0.5*(C114/Inputs!$B$54)^3)),Inputs!$B$52+Inputs!$B$53*(1-EXP(-3*C114/Inputs!$B$54)),Inputs!$B$52+Inputs!$B$53*(1-EXP(-3*(C114/Inputs!$B$54)^2))))</f>
        <v>0.15000000000000002</v>
      </c>
      <c r="D160" s="48">
        <f>IF(D114=0,0,CHOOSE(Inputs!$B$51,IF(D114&gt;=Inputs!$B$54,Inputs!$B$52+Inputs!$B$53,Inputs!$B$52+Inputs!$B$53*(1.5*D114/Inputs!$B$54-0.5*(D114/Inputs!$B$54)^3)),Inputs!$B$52+Inputs!$B$53*(1-EXP(-3*D114/Inputs!$B$54)),Inputs!$B$52+Inputs!$B$53*(1-EXP(-3*(D114/Inputs!$B$54)^2))))</f>
        <v>0.15000000000000002</v>
      </c>
      <c r="E160" s="48">
        <f>IF(E114=0,0,CHOOSE(Inputs!$B$51,IF(E114&gt;=Inputs!$B$54,Inputs!$B$52+Inputs!$B$53,Inputs!$B$52+Inputs!$B$53*(1.5*E114/Inputs!$B$54-0.5*(E114/Inputs!$B$54)^3)),Inputs!$B$52+Inputs!$B$53*(1-EXP(-3*E114/Inputs!$B$54)),Inputs!$B$52+Inputs!$B$53*(1-EXP(-3*(E114/Inputs!$B$54)^2))))</f>
        <v>0.15000000000000002</v>
      </c>
      <c r="F160" s="48">
        <f>IF(F114=0,0,CHOOSE(Inputs!$B$51,IF(F114&gt;=Inputs!$B$54,Inputs!$B$52+Inputs!$B$53,Inputs!$B$52+Inputs!$B$53*(1.5*F114/Inputs!$B$54-0.5*(F114/Inputs!$B$54)^3)),Inputs!$B$52+Inputs!$B$53*(1-EXP(-3*F114/Inputs!$B$54)),Inputs!$B$52+Inputs!$B$53*(1-EXP(-3*(F114/Inputs!$B$54)^2))))</f>
        <v>0.15000000000000002</v>
      </c>
      <c r="G160" s="48">
        <f>IF(G114=0,0,CHOOSE(Inputs!$B$51,IF(G114&gt;=Inputs!$B$54,Inputs!$B$52+Inputs!$B$53,Inputs!$B$52+Inputs!$B$53*(1.5*G114/Inputs!$B$54-0.5*(G114/Inputs!$B$54)^3)),Inputs!$B$52+Inputs!$B$53*(1-EXP(-3*G114/Inputs!$B$54)),Inputs!$B$52+Inputs!$B$53*(1-EXP(-3*(G114/Inputs!$B$54)^2))))</f>
        <v>0.15000000000000002</v>
      </c>
      <c r="H160" s="48">
        <f>IF(H114=0,0,CHOOSE(Inputs!$B$51,IF(H114&gt;=Inputs!$B$54,Inputs!$B$52+Inputs!$B$53,Inputs!$B$52+Inputs!$B$53*(1.5*H114/Inputs!$B$54-0.5*(H114/Inputs!$B$54)^3)),Inputs!$B$52+Inputs!$B$53*(1-EXP(-3*H114/Inputs!$B$54)),Inputs!$B$52+Inputs!$B$53*(1-EXP(-3*(H114/Inputs!$B$54)^2))))</f>
        <v>0.14187184335382291</v>
      </c>
      <c r="I160" s="48">
        <f>IF(I114=0,0,CHOOSE(Inputs!$B$51,IF(I114&gt;=Inputs!$B$54,Inputs!$B$52+Inputs!$B$53,Inputs!$B$52+Inputs!$B$53*(1.5*I114/Inputs!$B$54-0.5*(I114/Inputs!$B$54)^3)),Inputs!$B$52+Inputs!$B$53*(1-EXP(-3*I114/Inputs!$B$54)),Inputs!$B$52+Inputs!$B$53*(1-EXP(-3*(I114/Inputs!$B$54)^2))))</f>
        <v>0.12812499999999999</v>
      </c>
      <c r="J160" s="48">
        <f>IF(J114=0,0,CHOOSE(Inputs!$B$51,IF(J114&gt;=Inputs!$B$54,Inputs!$B$52+Inputs!$B$53,Inputs!$B$52+Inputs!$B$53*(1.5*J114/Inputs!$B$54-0.5*(J114/Inputs!$B$54)^3)),Inputs!$B$52+Inputs!$B$53*(1-EXP(-3*J114/Inputs!$B$54)),Inputs!$B$52+Inputs!$B$53*(1-EXP(-3*(J114/Inputs!$B$54)^2))))</f>
        <v>0.14187184335382291</v>
      </c>
      <c r="K160" s="48">
        <f>IF(K114=0,0,CHOOSE(Inputs!$B$51,IF(K114&gt;=Inputs!$B$54,Inputs!$B$52+Inputs!$B$53,Inputs!$B$52+Inputs!$B$53*(1.5*K114/Inputs!$B$54-0.5*(K114/Inputs!$B$54)^3)),Inputs!$B$52+Inputs!$B$53*(1-EXP(-3*K114/Inputs!$B$54)),Inputs!$B$52+Inputs!$B$53*(1-EXP(-3*(K114/Inputs!$B$54)^2))))</f>
        <v>0.15000000000000002</v>
      </c>
      <c r="L160" s="48">
        <f>IF(L114=0,0,CHOOSE(Inputs!$B$51,IF(L114&gt;=Inputs!$B$54,Inputs!$B$52+Inputs!$B$53,Inputs!$B$52+Inputs!$B$53*(1.5*L114/Inputs!$B$54-0.5*(L114/Inputs!$B$54)^3)),Inputs!$B$52+Inputs!$B$53*(1-EXP(-3*L114/Inputs!$B$54)),Inputs!$B$52+Inputs!$B$53*(1-EXP(-3*(L114/Inputs!$B$54)^2))))</f>
        <v>0.15000000000000002</v>
      </c>
      <c r="M160" s="48">
        <f>IF(M114=0,0,CHOOSE(Inputs!$B$51,IF(M114&gt;=Inputs!$B$54,Inputs!$B$52+Inputs!$B$53,Inputs!$B$52+Inputs!$B$53*(1.5*M114/Inputs!$B$54-0.5*(M114/Inputs!$B$54)^3)),Inputs!$B$52+Inputs!$B$53*(1-EXP(-3*M114/Inputs!$B$54)),Inputs!$B$52+Inputs!$B$53*(1-EXP(-3*(M114/Inputs!$B$54)^2))))</f>
        <v>0.12812499999999999</v>
      </c>
      <c r="N160" s="48">
        <f>IF(N114=0,0,CHOOSE(Inputs!$B$51,IF(N114&gt;=Inputs!$B$54,Inputs!$B$52+Inputs!$B$53,Inputs!$B$52+Inputs!$B$53*(1.5*N114/Inputs!$B$54-0.5*(N114/Inputs!$B$54)^3)),Inputs!$B$52+Inputs!$B$53*(1-EXP(-3*N114/Inputs!$B$54)),Inputs!$B$52+Inputs!$B$53*(1-EXP(-3*(N114/Inputs!$B$54)^2))))</f>
        <v>0</v>
      </c>
      <c r="O160" s="48">
        <f>IF(O114=0,0,CHOOSE(Inputs!$B$51,IF(O114&gt;=Inputs!$B$54,Inputs!$B$52+Inputs!$B$53,Inputs!$B$52+Inputs!$B$53*(1.5*O114/Inputs!$B$54-0.5*(O114/Inputs!$B$54)^3)),Inputs!$B$52+Inputs!$B$53*(1-EXP(-3*O114/Inputs!$B$54)),Inputs!$B$52+Inputs!$B$53*(1-EXP(-3*(O114/Inputs!$B$54)^2))))</f>
        <v>0.12812499999999999</v>
      </c>
      <c r="P160" s="48">
        <f>IF(P114=0,0,CHOOSE(Inputs!$B$51,IF(P114&gt;=Inputs!$B$54,Inputs!$B$52+Inputs!$B$53,Inputs!$B$52+Inputs!$B$53*(1.5*P114/Inputs!$B$54-0.5*(P114/Inputs!$B$54)^3)),Inputs!$B$52+Inputs!$B$53*(1-EXP(-3*P114/Inputs!$B$54)),Inputs!$B$52+Inputs!$B$53*(1-EXP(-3*(P114/Inputs!$B$54)^2))))</f>
        <v>0.15000000000000002</v>
      </c>
      <c r="Q160" s="48">
        <f>IF(Q114=0,0,CHOOSE(Inputs!$B$51,IF(Q114&gt;=Inputs!$B$54,Inputs!$B$52+Inputs!$B$53,Inputs!$B$52+Inputs!$B$53*(1.5*Q114/Inputs!$B$54-0.5*(Q114/Inputs!$B$54)^3)),Inputs!$B$52+Inputs!$B$53*(1-EXP(-3*Q114/Inputs!$B$54)),Inputs!$B$52+Inputs!$B$53*(1-EXP(-3*(Q114/Inputs!$B$54)^2))))</f>
        <v>0.15000000000000002</v>
      </c>
      <c r="R160" s="48">
        <f>IF(R114=0,0,CHOOSE(Inputs!$B$51,IF(R114&gt;=Inputs!$B$54,Inputs!$B$52+Inputs!$B$53,Inputs!$B$52+Inputs!$B$53*(1.5*R114/Inputs!$B$54-0.5*(R114/Inputs!$B$54)^3)),Inputs!$B$52+Inputs!$B$53*(1-EXP(-3*R114/Inputs!$B$54)),Inputs!$B$52+Inputs!$B$53*(1-EXP(-3*(R114/Inputs!$B$54)^2))))</f>
        <v>0.14187184335382291</v>
      </c>
      <c r="S160" s="48">
        <f>IF(S114=0,0,CHOOSE(Inputs!$B$51,IF(S114&gt;=Inputs!$B$54,Inputs!$B$52+Inputs!$B$53,Inputs!$B$52+Inputs!$B$53*(1.5*S114/Inputs!$B$54-0.5*(S114/Inputs!$B$54)^3)),Inputs!$B$52+Inputs!$B$53*(1-EXP(-3*S114/Inputs!$B$54)),Inputs!$B$52+Inputs!$B$53*(1-EXP(-3*(S114/Inputs!$B$54)^2))))</f>
        <v>0.12812499999999999</v>
      </c>
      <c r="T160" s="48">
        <f>IF(T114=0,0,CHOOSE(Inputs!$B$51,IF(T114&gt;=Inputs!$B$54,Inputs!$B$52+Inputs!$B$53,Inputs!$B$52+Inputs!$B$53*(1.5*T114/Inputs!$B$54-0.5*(T114/Inputs!$B$54)^3)),Inputs!$B$52+Inputs!$B$53*(1-EXP(-3*T114/Inputs!$B$54)),Inputs!$B$52+Inputs!$B$53*(1-EXP(-3*(T114/Inputs!$B$54)^2))))</f>
        <v>0.14187184335382291</v>
      </c>
      <c r="U160" s="48">
        <f>IF(U114=0,0,CHOOSE(Inputs!$B$51,IF(U114&gt;=Inputs!$B$54,Inputs!$B$52+Inputs!$B$53,Inputs!$B$52+Inputs!$B$53*(1.5*U114/Inputs!$B$54-0.5*(U114/Inputs!$B$54)^3)),Inputs!$B$52+Inputs!$B$53*(1-EXP(-3*U114/Inputs!$B$54)),Inputs!$B$52+Inputs!$B$53*(1-EXP(-3*(U114/Inputs!$B$54)^2))))</f>
        <v>0.15000000000000002</v>
      </c>
      <c r="V160" s="51">
        <v>1</v>
      </c>
      <c r="X160" s="48">
        <f>IF(V114=0,0,CHOOSE(Inputs!$B$51,IF(V114&gt;=Inputs!$B$54,Inputs!$B$52+Inputs!$B$53,Inputs!$B$52+Inputs!$B$53*(1.5*V114/Inputs!$B$54-0.5*(V114/Inputs!$B$54)^3)),Inputs!$B$52+Inputs!$B$53*(1-EXP(-3*V114/Inputs!$B$54)),Inputs!$B$52+Inputs!$B$53*(1-EXP(-3*(V114/Inputs!$B$54)^2))))</f>
        <v>0.11557630992844818</v>
      </c>
      <c r="Y160" s="60">
        <v>0.18789834142526793</v>
      </c>
    </row>
    <row r="161" spans="1:25" x14ac:dyDescent="0.4">
      <c r="A161" s="41" t="str">
        <f>$A$19</f>
        <v>C4</v>
      </c>
      <c r="B161" s="48">
        <f>IF(B115=0,0,CHOOSE(Inputs!$B$51,IF(B115&gt;=Inputs!$B$54,Inputs!$B$52+Inputs!$B$53,Inputs!$B$52+Inputs!$B$53*(1.5*B115/Inputs!$B$54-0.5*(B115/Inputs!$B$54)^3)),Inputs!$B$52+Inputs!$B$53*(1-EXP(-3*B115/Inputs!$B$54)),Inputs!$B$52+Inputs!$B$53*(1-EXP(-3*(B115/Inputs!$B$54)^2))))</f>
        <v>0.15000000000000002</v>
      </c>
      <c r="C161" s="48">
        <f>IF(C115=0,0,CHOOSE(Inputs!$B$51,IF(C115&gt;=Inputs!$B$54,Inputs!$B$52+Inputs!$B$53,Inputs!$B$52+Inputs!$B$53*(1.5*C115/Inputs!$B$54-0.5*(C115/Inputs!$B$54)^3)),Inputs!$B$52+Inputs!$B$53*(1-EXP(-3*C115/Inputs!$B$54)),Inputs!$B$52+Inputs!$B$53*(1-EXP(-3*(C115/Inputs!$B$54)^2))))</f>
        <v>0.15000000000000002</v>
      </c>
      <c r="D161" s="48">
        <f>IF(D115=0,0,CHOOSE(Inputs!$B$51,IF(D115&gt;=Inputs!$B$54,Inputs!$B$52+Inputs!$B$53,Inputs!$B$52+Inputs!$B$53*(1.5*D115/Inputs!$B$54-0.5*(D115/Inputs!$B$54)^3)),Inputs!$B$52+Inputs!$B$53*(1-EXP(-3*D115/Inputs!$B$54)),Inputs!$B$52+Inputs!$B$53*(1-EXP(-3*(D115/Inputs!$B$54)^2))))</f>
        <v>0.15000000000000002</v>
      </c>
      <c r="E161" s="48">
        <f>IF(E115=0,0,CHOOSE(Inputs!$B$51,IF(E115&gt;=Inputs!$B$54,Inputs!$B$52+Inputs!$B$53,Inputs!$B$52+Inputs!$B$53*(1.5*E115/Inputs!$B$54-0.5*(E115/Inputs!$B$54)^3)),Inputs!$B$52+Inputs!$B$53*(1-EXP(-3*E115/Inputs!$B$54)),Inputs!$B$52+Inputs!$B$53*(1-EXP(-3*(E115/Inputs!$B$54)^2))))</f>
        <v>0.15000000000000002</v>
      </c>
      <c r="F161" s="48">
        <f>IF(F115=0,0,CHOOSE(Inputs!$B$51,IF(F115&gt;=Inputs!$B$54,Inputs!$B$52+Inputs!$B$53,Inputs!$B$52+Inputs!$B$53*(1.5*F115/Inputs!$B$54-0.5*(F115/Inputs!$B$54)^3)),Inputs!$B$52+Inputs!$B$53*(1-EXP(-3*F115/Inputs!$B$54)),Inputs!$B$52+Inputs!$B$53*(1-EXP(-3*(F115/Inputs!$B$54)^2))))</f>
        <v>0.15000000000000002</v>
      </c>
      <c r="G161" s="48">
        <f>IF(G115=0,0,CHOOSE(Inputs!$B$51,IF(G115&gt;=Inputs!$B$54,Inputs!$B$52+Inputs!$B$53,Inputs!$B$52+Inputs!$B$53*(1.5*G115/Inputs!$B$54-0.5*(G115/Inputs!$B$54)^3)),Inputs!$B$52+Inputs!$B$53*(1-EXP(-3*G115/Inputs!$B$54)),Inputs!$B$52+Inputs!$B$53*(1-EXP(-3*(G115/Inputs!$B$54)^2))))</f>
        <v>0.15000000000000002</v>
      </c>
      <c r="H161" s="48">
        <f>IF(H115=0,0,CHOOSE(Inputs!$B$51,IF(H115&gt;=Inputs!$B$54,Inputs!$B$52+Inputs!$B$53,Inputs!$B$52+Inputs!$B$53*(1.5*H115/Inputs!$B$54-0.5*(H115/Inputs!$B$54)^3)),Inputs!$B$52+Inputs!$B$53*(1-EXP(-3*H115/Inputs!$B$54)),Inputs!$B$52+Inputs!$B$53*(1-EXP(-3*(H115/Inputs!$B$54)^2))))</f>
        <v>0.15000000000000002</v>
      </c>
      <c r="I161" s="48">
        <f>IF(I115=0,0,CHOOSE(Inputs!$B$51,IF(I115&gt;=Inputs!$B$54,Inputs!$B$52+Inputs!$B$53,Inputs!$B$52+Inputs!$B$53*(1.5*I115/Inputs!$B$54-0.5*(I115/Inputs!$B$54)^3)),Inputs!$B$52+Inputs!$B$53*(1-EXP(-3*I115/Inputs!$B$54)),Inputs!$B$52+Inputs!$B$53*(1-EXP(-3*(I115/Inputs!$B$54)^2))))</f>
        <v>0.14187184335382291</v>
      </c>
      <c r="J161" s="48">
        <f>IF(J115=0,0,CHOOSE(Inputs!$B$51,IF(J115&gt;=Inputs!$B$54,Inputs!$B$52+Inputs!$B$53,Inputs!$B$52+Inputs!$B$53*(1.5*J115/Inputs!$B$54-0.5*(J115/Inputs!$B$54)^3)),Inputs!$B$52+Inputs!$B$53*(1-EXP(-3*J115/Inputs!$B$54)),Inputs!$B$52+Inputs!$B$53*(1-EXP(-3*(J115/Inputs!$B$54)^2))))</f>
        <v>0.12812499999999999</v>
      </c>
      <c r="K161" s="48">
        <f>IF(K115=0,0,CHOOSE(Inputs!$B$51,IF(K115&gt;=Inputs!$B$54,Inputs!$B$52+Inputs!$B$53,Inputs!$B$52+Inputs!$B$53*(1.5*K115/Inputs!$B$54-0.5*(K115/Inputs!$B$54)^3)),Inputs!$B$52+Inputs!$B$53*(1-EXP(-3*K115/Inputs!$B$54)),Inputs!$B$52+Inputs!$B$53*(1-EXP(-3*(K115/Inputs!$B$54)^2))))</f>
        <v>0.14187184335382291</v>
      </c>
      <c r="L161" s="48">
        <f>IF(L115=0,0,CHOOSE(Inputs!$B$51,IF(L115&gt;=Inputs!$B$54,Inputs!$B$52+Inputs!$B$53,Inputs!$B$52+Inputs!$B$53*(1.5*L115/Inputs!$B$54-0.5*(L115/Inputs!$B$54)^3)),Inputs!$B$52+Inputs!$B$53*(1-EXP(-3*L115/Inputs!$B$54)),Inputs!$B$52+Inputs!$B$53*(1-EXP(-3*(L115/Inputs!$B$54)^2))))</f>
        <v>0.15000000000000002</v>
      </c>
      <c r="M161" s="48">
        <f>IF(M115=0,0,CHOOSE(Inputs!$B$51,IF(M115&gt;=Inputs!$B$54,Inputs!$B$52+Inputs!$B$53,Inputs!$B$52+Inputs!$B$53*(1.5*M115/Inputs!$B$54-0.5*(M115/Inputs!$B$54)^3)),Inputs!$B$52+Inputs!$B$53*(1-EXP(-3*M115/Inputs!$B$54)),Inputs!$B$52+Inputs!$B$53*(1-EXP(-3*(M115/Inputs!$B$54)^2))))</f>
        <v>0.15000000000000002</v>
      </c>
      <c r="N161" s="48">
        <f>IF(N115=0,0,CHOOSE(Inputs!$B$51,IF(N115&gt;=Inputs!$B$54,Inputs!$B$52+Inputs!$B$53,Inputs!$B$52+Inputs!$B$53*(1.5*N115/Inputs!$B$54-0.5*(N115/Inputs!$B$54)^3)),Inputs!$B$52+Inputs!$B$53*(1-EXP(-3*N115/Inputs!$B$54)),Inputs!$B$52+Inputs!$B$53*(1-EXP(-3*(N115/Inputs!$B$54)^2))))</f>
        <v>0.12812499999999999</v>
      </c>
      <c r="O161" s="48">
        <f>IF(O115=0,0,CHOOSE(Inputs!$B$51,IF(O115&gt;=Inputs!$B$54,Inputs!$B$52+Inputs!$B$53,Inputs!$B$52+Inputs!$B$53*(1.5*O115/Inputs!$B$54-0.5*(O115/Inputs!$B$54)^3)),Inputs!$B$52+Inputs!$B$53*(1-EXP(-3*O115/Inputs!$B$54)),Inputs!$B$52+Inputs!$B$53*(1-EXP(-3*(O115/Inputs!$B$54)^2))))</f>
        <v>0</v>
      </c>
      <c r="P161" s="48">
        <f>IF(P115=0,0,CHOOSE(Inputs!$B$51,IF(P115&gt;=Inputs!$B$54,Inputs!$B$52+Inputs!$B$53,Inputs!$B$52+Inputs!$B$53*(1.5*P115/Inputs!$B$54-0.5*(P115/Inputs!$B$54)^3)),Inputs!$B$52+Inputs!$B$53*(1-EXP(-3*P115/Inputs!$B$54)),Inputs!$B$52+Inputs!$B$53*(1-EXP(-3*(P115/Inputs!$B$54)^2))))</f>
        <v>0.12812499999999999</v>
      </c>
      <c r="Q161" s="48">
        <f>IF(Q115=0,0,CHOOSE(Inputs!$B$51,IF(Q115&gt;=Inputs!$B$54,Inputs!$B$52+Inputs!$B$53,Inputs!$B$52+Inputs!$B$53*(1.5*Q115/Inputs!$B$54-0.5*(Q115/Inputs!$B$54)^3)),Inputs!$B$52+Inputs!$B$53*(1-EXP(-3*Q115/Inputs!$B$54)),Inputs!$B$52+Inputs!$B$53*(1-EXP(-3*(Q115/Inputs!$B$54)^2))))</f>
        <v>0.15000000000000002</v>
      </c>
      <c r="R161" s="48">
        <f>IF(R115=0,0,CHOOSE(Inputs!$B$51,IF(R115&gt;=Inputs!$B$54,Inputs!$B$52+Inputs!$B$53,Inputs!$B$52+Inputs!$B$53*(1.5*R115/Inputs!$B$54-0.5*(R115/Inputs!$B$54)^3)),Inputs!$B$52+Inputs!$B$53*(1-EXP(-3*R115/Inputs!$B$54)),Inputs!$B$52+Inputs!$B$53*(1-EXP(-3*(R115/Inputs!$B$54)^2))))</f>
        <v>0.15000000000000002</v>
      </c>
      <c r="S161" s="48">
        <f>IF(S115=0,0,CHOOSE(Inputs!$B$51,IF(S115&gt;=Inputs!$B$54,Inputs!$B$52+Inputs!$B$53,Inputs!$B$52+Inputs!$B$53*(1.5*S115/Inputs!$B$54-0.5*(S115/Inputs!$B$54)^3)),Inputs!$B$52+Inputs!$B$53*(1-EXP(-3*S115/Inputs!$B$54)),Inputs!$B$52+Inputs!$B$53*(1-EXP(-3*(S115/Inputs!$B$54)^2))))</f>
        <v>0.14187184335382291</v>
      </c>
      <c r="T161" s="48">
        <f>IF(T115=0,0,CHOOSE(Inputs!$B$51,IF(T115&gt;=Inputs!$B$54,Inputs!$B$52+Inputs!$B$53,Inputs!$B$52+Inputs!$B$53*(1.5*T115/Inputs!$B$54-0.5*(T115/Inputs!$B$54)^3)),Inputs!$B$52+Inputs!$B$53*(1-EXP(-3*T115/Inputs!$B$54)),Inputs!$B$52+Inputs!$B$53*(1-EXP(-3*(T115/Inputs!$B$54)^2))))</f>
        <v>0.12812499999999999</v>
      </c>
      <c r="U161" s="48">
        <f>IF(U115=0,0,CHOOSE(Inputs!$B$51,IF(U115&gt;=Inputs!$B$54,Inputs!$B$52+Inputs!$B$53,Inputs!$B$52+Inputs!$B$53*(1.5*U115/Inputs!$B$54-0.5*(U115/Inputs!$B$54)^3)),Inputs!$B$52+Inputs!$B$53*(1-EXP(-3*U115/Inputs!$B$54)),Inputs!$B$52+Inputs!$B$53*(1-EXP(-3*(U115/Inputs!$B$54)^2))))</f>
        <v>0.14187184335382291</v>
      </c>
      <c r="V161" s="51">
        <v>1</v>
      </c>
      <c r="X161" s="48">
        <f>IF(V115=0,0,CHOOSE(Inputs!$B$51,IF(V115&gt;=Inputs!$B$54,Inputs!$B$52+Inputs!$B$53,Inputs!$B$52+Inputs!$B$53*(1.5*V115/Inputs!$B$54-0.5*(V115/Inputs!$B$54)^3)),Inputs!$B$52+Inputs!$B$53*(1-EXP(-3*V115/Inputs!$B$54)),Inputs!$B$52+Inputs!$B$53*(1-EXP(-3*(V115/Inputs!$B$54)^2))))</f>
        <v>0.14571608262537417</v>
      </c>
      <c r="Y161" s="60">
        <v>1.076213285302368E-2</v>
      </c>
    </row>
    <row r="162" spans="1:25" x14ac:dyDescent="0.4">
      <c r="A162" s="41" t="str">
        <f>$A$20</f>
        <v>C5</v>
      </c>
      <c r="B162" s="48">
        <f>IF(B116=0,0,CHOOSE(Inputs!$B$51,IF(B116&gt;=Inputs!$B$54,Inputs!$B$52+Inputs!$B$53,Inputs!$B$52+Inputs!$B$53*(1.5*B116/Inputs!$B$54-0.5*(B116/Inputs!$B$54)^3)),Inputs!$B$52+Inputs!$B$53*(1-EXP(-3*B116/Inputs!$B$54)),Inputs!$B$52+Inputs!$B$53*(1-EXP(-3*(B116/Inputs!$B$54)^2))))</f>
        <v>0.15000000000000002</v>
      </c>
      <c r="C162" s="48">
        <f>IF(C116=0,0,CHOOSE(Inputs!$B$51,IF(C116&gt;=Inputs!$B$54,Inputs!$B$52+Inputs!$B$53,Inputs!$B$52+Inputs!$B$53*(1.5*C116/Inputs!$B$54-0.5*(C116/Inputs!$B$54)^3)),Inputs!$B$52+Inputs!$B$53*(1-EXP(-3*C116/Inputs!$B$54)),Inputs!$B$52+Inputs!$B$53*(1-EXP(-3*(C116/Inputs!$B$54)^2))))</f>
        <v>0.15000000000000002</v>
      </c>
      <c r="D162" s="48">
        <f>IF(D116=0,0,CHOOSE(Inputs!$B$51,IF(D116&gt;=Inputs!$B$54,Inputs!$B$52+Inputs!$B$53,Inputs!$B$52+Inputs!$B$53*(1.5*D116/Inputs!$B$54-0.5*(D116/Inputs!$B$54)^3)),Inputs!$B$52+Inputs!$B$53*(1-EXP(-3*D116/Inputs!$B$54)),Inputs!$B$52+Inputs!$B$53*(1-EXP(-3*(D116/Inputs!$B$54)^2))))</f>
        <v>0.15000000000000002</v>
      </c>
      <c r="E162" s="48">
        <f>IF(E116=0,0,CHOOSE(Inputs!$B$51,IF(E116&gt;=Inputs!$B$54,Inputs!$B$52+Inputs!$B$53,Inputs!$B$52+Inputs!$B$53*(1.5*E116/Inputs!$B$54-0.5*(E116/Inputs!$B$54)^3)),Inputs!$B$52+Inputs!$B$53*(1-EXP(-3*E116/Inputs!$B$54)),Inputs!$B$52+Inputs!$B$53*(1-EXP(-3*(E116/Inputs!$B$54)^2))))</f>
        <v>0.15000000000000002</v>
      </c>
      <c r="F162" s="48">
        <f>IF(F116=0,0,CHOOSE(Inputs!$B$51,IF(F116&gt;=Inputs!$B$54,Inputs!$B$52+Inputs!$B$53,Inputs!$B$52+Inputs!$B$53*(1.5*F116/Inputs!$B$54-0.5*(F116/Inputs!$B$54)^3)),Inputs!$B$52+Inputs!$B$53*(1-EXP(-3*F116/Inputs!$B$54)),Inputs!$B$52+Inputs!$B$53*(1-EXP(-3*(F116/Inputs!$B$54)^2))))</f>
        <v>0.15000000000000002</v>
      </c>
      <c r="G162" s="48">
        <f>IF(G116=0,0,CHOOSE(Inputs!$B$51,IF(G116&gt;=Inputs!$B$54,Inputs!$B$52+Inputs!$B$53,Inputs!$B$52+Inputs!$B$53*(1.5*G116/Inputs!$B$54-0.5*(G116/Inputs!$B$54)^3)),Inputs!$B$52+Inputs!$B$53*(1-EXP(-3*G116/Inputs!$B$54)),Inputs!$B$52+Inputs!$B$53*(1-EXP(-3*(G116/Inputs!$B$54)^2))))</f>
        <v>0.15000000000000002</v>
      </c>
      <c r="H162" s="48">
        <f>IF(H116=0,0,CHOOSE(Inputs!$B$51,IF(H116&gt;=Inputs!$B$54,Inputs!$B$52+Inputs!$B$53,Inputs!$B$52+Inputs!$B$53*(1.5*H116/Inputs!$B$54-0.5*(H116/Inputs!$B$54)^3)),Inputs!$B$52+Inputs!$B$53*(1-EXP(-3*H116/Inputs!$B$54)),Inputs!$B$52+Inputs!$B$53*(1-EXP(-3*(H116/Inputs!$B$54)^2))))</f>
        <v>0.15000000000000002</v>
      </c>
      <c r="I162" s="48">
        <f>IF(I116=0,0,CHOOSE(Inputs!$B$51,IF(I116&gt;=Inputs!$B$54,Inputs!$B$52+Inputs!$B$53,Inputs!$B$52+Inputs!$B$53*(1.5*I116/Inputs!$B$54-0.5*(I116/Inputs!$B$54)^3)),Inputs!$B$52+Inputs!$B$53*(1-EXP(-3*I116/Inputs!$B$54)),Inputs!$B$52+Inputs!$B$53*(1-EXP(-3*(I116/Inputs!$B$54)^2))))</f>
        <v>0.15000000000000002</v>
      </c>
      <c r="J162" s="48">
        <f>IF(J116=0,0,CHOOSE(Inputs!$B$51,IF(J116&gt;=Inputs!$B$54,Inputs!$B$52+Inputs!$B$53,Inputs!$B$52+Inputs!$B$53*(1.5*J116/Inputs!$B$54-0.5*(J116/Inputs!$B$54)^3)),Inputs!$B$52+Inputs!$B$53*(1-EXP(-3*J116/Inputs!$B$54)),Inputs!$B$52+Inputs!$B$53*(1-EXP(-3*(J116/Inputs!$B$54)^2))))</f>
        <v>0.14187184335382291</v>
      </c>
      <c r="K162" s="48">
        <f>IF(K116=0,0,CHOOSE(Inputs!$B$51,IF(K116&gt;=Inputs!$B$54,Inputs!$B$52+Inputs!$B$53,Inputs!$B$52+Inputs!$B$53*(1.5*K116/Inputs!$B$54-0.5*(K116/Inputs!$B$54)^3)),Inputs!$B$52+Inputs!$B$53*(1-EXP(-3*K116/Inputs!$B$54)),Inputs!$B$52+Inputs!$B$53*(1-EXP(-3*(K116/Inputs!$B$54)^2))))</f>
        <v>0.12812499999999999</v>
      </c>
      <c r="L162" s="48">
        <f>IF(L116=0,0,CHOOSE(Inputs!$B$51,IF(L116&gt;=Inputs!$B$54,Inputs!$B$52+Inputs!$B$53,Inputs!$B$52+Inputs!$B$53*(1.5*L116/Inputs!$B$54-0.5*(L116/Inputs!$B$54)^3)),Inputs!$B$52+Inputs!$B$53*(1-EXP(-3*L116/Inputs!$B$54)),Inputs!$B$52+Inputs!$B$53*(1-EXP(-3*(L116/Inputs!$B$54)^2))))</f>
        <v>0.15000000000000002</v>
      </c>
      <c r="M162" s="48">
        <f>IF(M116=0,0,CHOOSE(Inputs!$B$51,IF(M116&gt;=Inputs!$B$54,Inputs!$B$52+Inputs!$B$53,Inputs!$B$52+Inputs!$B$53*(1.5*M116/Inputs!$B$54-0.5*(M116/Inputs!$B$54)^3)),Inputs!$B$52+Inputs!$B$53*(1-EXP(-3*M116/Inputs!$B$54)),Inputs!$B$52+Inputs!$B$53*(1-EXP(-3*(M116/Inputs!$B$54)^2))))</f>
        <v>0.15000000000000002</v>
      </c>
      <c r="N162" s="48">
        <f>IF(N116=0,0,CHOOSE(Inputs!$B$51,IF(N116&gt;=Inputs!$B$54,Inputs!$B$52+Inputs!$B$53,Inputs!$B$52+Inputs!$B$53*(1.5*N116/Inputs!$B$54-0.5*(N116/Inputs!$B$54)^3)),Inputs!$B$52+Inputs!$B$53*(1-EXP(-3*N116/Inputs!$B$54)),Inputs!$B$52+Inputs!$B$53*(1-EXP(-3*(N116/Inputs!$B$54)^2))))</f>
        <v>0.15000000000000002</v>
      </c>
      <c r="O162" s="48">
        <f>IF(O116=0,0,CHOOSE(Inputs!$B$51,IF(O116&gt;=Inputs!$B$54,Inputs!$B$52+Inputs!$B$53,Inputs!$B$52+Inputs!$B$53*(1.5*O116/Inputs!$B$54-0.5*(O116/Inputs!$B$54)^3)),Inputs!$B$52+Inputs!$B$53*(1-EXP(-3*O116/Inputs!$B$54)),Inputs!$B$52+Inputs!$B$53*(1-EXP(-3*(O116/Inputs!$B$54)^2))))</f>
        <v>0.12812499999999999</v>
      </c>
      <c r="P162" s="48">
        <f>IF(P116=0,0,CHOOSE(Inputs!$B$51,IF(P116&gt;=Inputs!$B$54,Inputs!$B$52+Inputs!$B$53,Inputs!$B$52+Inputs!$B$53*(1.5*P116/Inputs!$B$54-0.5*(P116/Inputs!$B$54)^3)),Inputs!$B$52+Inputs!$B$53*(1-EXP(-3*P116/Inputs!$B$54)),Inputs!$B$52+Inputs!$B$53*(1-EXP(-3*(P116/Inputs!$B$54)^2))))</f>
        <v>0</v>
      </c>
      <c r="Q162" s="48">
        <f>IF(Q116=0,0,CHOOSE(Inputs!$B$51,IF(Q116&gt;=Inputs!$B$54,Inputs!$B$52+Inputs!$B$53,Inputs!$B$52+Inputs!$B$53*(1.5*Q116/Inputs!$B$54-0.5*(Q116/Inputs!$B$54)^3)),Inputs!$B$52+Inputs!$B$53*(1-EXP(-3*Q116/Inputs!$B$54)),Inputs!$B$52+Inputs!$B$53*(1-EXP(-3*(Q116/Inputs!$B$54)^2))))</f>
        <v>0.15000000000000002</v>
      </c>
      <c r="R162" s="48">
        <f>IF(R116=0,0,CHOOSE(Inputs!$B$51,IF(R116&gt;=Inputs!$B$54,Inputs!$B$52+Inputs!$B$53,Inputs!$B$52+Inputs!$B$53*(1.5*R116/Inputs!$B$54-0.5*(R116/Inputs!$B$54)^3)),Inputs!$B$52+Inputs!$B$53*(1-EXP(-3*R116/Inputs!$B$54)),Inputs!$B$52+Inputs!$B$53*(1-EXP(-3*(R116/Inputs!$B$54)^2))))</f>
        <v>0.15000000000000002</v>
      </c>
      <c r="S162" s="48">
        <f>IF(S116=0,0,CHOOSE(Inputs!$B$51,IF(S116&gt;=Inputs!$B$54,Inputs!$B$52+Inputs!$B$53,Inputs!$B$52+Inputs!$B$53*(1.5*S116/Inputs!$B$54-0.5*(S116/Inputs!$B$54)^3)),Inputs!$B$52+Inputs!$B$53*(1-EXP(-3*S116/Inputs!$B$54)),Inputs!$B$52+Inputs!$B$53*(1-EXP(-3*(S116/Inputs!$B$54)^2))))</f>
        <v>0.15000000000000002</v>
      </c>
      <c r="T162" s="48">
        <f>IF(T116=0,0,CHOOSE(Inputs!$B$51,IF(T116&gt;=Inputs!$B$54,Inputs!$B$52+Inputs!$B$53,Inputs!$B$52+Inputs!$B$53*(1.5*T116/Inputs!$B$54-0.5*(T116/Inputs!$B$54)^3)),Inputs!$B$52+Inputs!$B$53*(1-EXP(-3*T116/Inputs!$B$54)),Inputs!$B$52+Inputs!$B$53*(1-EXP(-3*(T116/Inputs!$B$54)^2))))</f>
        <v>0.14187184335382291</v>
      </c>
      <c r="U162" s="48">
        <f>IF(U116=0,0,CHOOSE(Inputs!$B$51,IF(U116&gt;=Inputs!$B$54,Inputs!$B$52+Inputs!$B$53,Inputs!$B$52+Inputs!$B$53*(1.5*U116/Inputs!$B$54-0.5*(U116/Inputs!$B$54)^3)),Inputs!$B$52+Inputs!$B$53*(1-EXP(-3*U116/Inputs!$B$54)),Inputs!$B$52+Inputs!$B$53*(1-EXP(-3*(U116/Inputs!$B$54)^2))))</f>
        <v>0.12812499999999999</v>
      </c>
      <c r="V162" s="51">
        <v>1</v>
      </c>
      <c r="X162" s="48">
        <f>IF(V116=0,0,CHOOSE(Inputs!$B$51,IF(V116&gt;=Inputs!$B$54,Inputs!$B$52+Inputs!$B$53,Inputs!$B$52+Inputs!$B$53*(1.5*V116/Inputs!$B$54-0.5*(V116/Inputs!$B$54)^3)),Inputs!$B$52+Inputs!$B$53*(1-EXP(-3*V116/Inputs!$B$54)),Inputs!$B$52+Inputs!$B$53*(1-EXP(-3*(V116/Inputs!$B$54)^2))))</f>
        <v>0.15000000000000002</v>
      </c>
      <c r="Y162" s="60">
        <v>1.9885590944833886E-2</v>
      </c>
    </row>
    <row r="163" spans="1:25" x14ac:dyDescent="0.4">
      <c r="A163" s="41" t="str">
        <f>$A$21</f>
        <v>D1</v>
      </c>
      <c r="B163" s="48">
        <f>IF(B117=0,0,CHOOSE(Inputs!$B$51,IF(B117&gt;=Inputs!$B$54,Inputs!$B$52+Inputs!$B$53,Inputs!$B$52+Inputs!$B$53*(1.5*B117/Inputs!$B$54-0.5*(B117/Inputs!$B$54)^3)),Inputs!$B$52+Inputs!$B$53*(1-EXP(-3*B117/Inputs!$B$54)),Inputs!$B$52+Inputs!$B$53*(1-EXP(-3*(B117/Inputs!$B$54)^2))))</f>
        <v>0.15000000000000002</v>
      </c>
      <c r="C163" s="48">
        <f>IF(C117=0,0,CHOOSE(Inputs!$B$51,IF(C117&gt;=Inputs!$B$54,Inputs!$B$52+Inputs!$B$53,Inputs!$B$52+Inputs!$B$53*(1.5*C117/Inputs!$B$54-0.5*(C117/Inputs!$B$54)^3)),Inputs!$B$52+Inputs!$B$53*(1-EXP(-3*C117/Inputs!$B$54)),Inputs!$B$52+Inputs!$B$53*(1-EXP(-3*(C117/Inputs!$B$54)^2))))</f>
        <v>0.15000000000000002</v>
      </c>
      <c r="D163" s="48">
        <f>IF(D117=0,0,CHOOSE(Inputs!$B$51,IF(D117&gt;=Inputs!$B$54,Inputs!$B$52+Inputs!$B$53,Inputs!$B$52+Inputs!$B$53*(1.5*D117/Inputs!$B$54-0.5*(D117/Inputs!$B$54)^3)),Inputs!$B$52+Inputs!$B$53*(1-EXP(-3*D117/Inputs!$B$54)),Inputs!$B$52+Inputs!$B$53*(1-EXP(-3*(D117/Inputs!$B$54)^2))))</f>
        <v>0.15000000000000002</v>
      </c>
      <c r="E163" s="48">
        <f>IF(E117=0,0,CHOOSE(Inputs!$B$51,IF(E117&gt;=Inputs!$B$54,Inputs!$B$52+Inputs!$B$53,Inputs!$B$52+Inputs!$B$53*(1.5*E117/Inputs!$B$54-0.5*(E117/Inputs!$B$54)^3)),Inputs!$B$52+Inputs!$B$53*(1-EXP(-3*E117/Inputs!$B$54)),Inputs!$B$52+Inputs!$B$53*(1-EXP(-3*(E117/Inputs!$B$54)^2))))</f>
        <v>0.15000000000000002</v>
      </c>
      <c r="F163" s="48">
        <f>IF(F117=0,0,CHOOSE(Inputs!$B$51,IF(F117&gt;=Inputs!$B$54,Inputs!$B$52+Inputs!$B$53,Inputs!$B$52+Inputs!$B$53*(1.5*F117/Inputs!$B$54-0.5*(F117/Inputs!$B$54)^3)),Inputs!$B$52+Inputs!$B$53*(1-EXP(-3*F117/Inputs!$B$54)),Inputs!$B$52+Inputs!$B$53*(1-EXP(-3*(F117/Inputs!$B$54)^2))))</f>
        <v>0.15000000000000002</v>
      </c>
      <c r="G163" s="48">
        <f>IF(G117=0,0,CHOOSE(Inputs!$B$51,IF(G117&gt;=Inputs!$B$54,Inputs!$B$52+Inputs!$B$53,Inputs!$B$52+Inputs!$B$53*(1.5*G117/Inputs!$B$54-0.5*(G117/Inputs!$B$54)^3)),Inputs!$B$52+Inputs!$B$53*(1-EXP(-3*G117/Inputs!$B$54)),Inputs!$B$52+Inputs!$B$53*(1-EXP(-3*(G117/Inputs!$B$54)^2))))</f>
        <v>0.15000000000000002</v>
      </c>
      <c r="H163" s="48">
        <f>IF(H117=0,0,CHOOSE(Inputs!$B$51,IF(H117&gt;=Inputs!$B$54,Inputs!$B$52+Inputs!$B$53,Inputs!$B$52+Inputs!$B$53*(1.5*H117/Inputs!$B$54-0.5*(H117/Inputs!$B$54)^3)),Inputs!$B$52+Inputs!$B$53*(1-EXP(-3*H117/Inputs!$B$54)),Inputs!$B$52+Inputs!$B$53*(1-EXP(-3*(H117/Inputs!$B$54)^2))))</f>
        <v>0.15000000000000002</v>
      </c>
      <c r="I163" s="48">
        <f>IF(I117=0,0,CHOOSE(Inputs!$B$51,IF(I117&gt;=Inputs!$B$54,Inputs!$B$52+Inputs!$B$53,Inputs!$B$52+Inputs!$B$53*(1.5*I117/Inputs!$B$54-0.5*(I117/Inputs!$B$54)^3)),Inputs!$B$52+Inputs!$B$53*(1-EXP(-3*I117/Inputs!$B$54)),Inputs!$B$52+Inputs!$B$53*(1-EXP(-3*(I117/Inputs!$B$54)^2))))</f>
        <v>0.15000000000000002</v>
      </c>
      <c r="J163" s="48">
        <f>IF(J117=0,0,CHOOSE(Inputs!$B$51,IF(J117&gt;=Inputs!$B$54,Inputs!$B$52+Inputs!$B$53,Inputs!$B$52+Inputs!$B$53*(1.5*J117/Inputs!$B$54-0.5*(J117/Inputs!$B$54)^3)),Inputs!$B$52+Inputs!$B$53*(1-EXP(-3*J117/Inputs!$B$54)),Inputs!$B$52+Inputs!$B$53*(1-EXP(-3*(J117/Inputs!$B$54)^2))))</f>
        <v>0.15000000000000002</v>
      </c>
      <c r="K163" s="48">
        <f>IF(K117=0,0,CHOOSE(Inputs!$B$51,IF(K117&gt;=Inputs!$B$54,Inputs!$B$52+Inputs!$B$53,Inputs!$B$52+Inputs!$B$53*(1.5*K117/Inputs!$B$54-0.5*(K117/Inputs!$B$54)^3)),Inputs!$B$52+Inputs!$B$53*(1-EXP(-3*K117/Inputs!$B$54)),Inputs!$B$52+Inputs!$B$53*(1-EXP(-3*(K117/Inputs!$B$54)^2))))</f>
        <v>0.15000000000000002</v>
      </c>
      <c r="L163" s="48">
        <f>IF(L117=0,0,CHOOSE(Inputs!$B$51,IF(L117&gt;=Inputs!$B$54,Inputs!$B$52+Inputs!$B$53,Inputs!$B$52+Inputs!$B$53*(1.5*L117/Inputs!$B$54-0.5*(L117/Inputs!$B$54)^3)),Inputs!$B$52+Inputs!$B$53*(1-EXP(-3*L117/Inputs!$B$54)),Inputs!$B$52+Inputs!$B$53*(1-EXP(-3*(L117/Inputs!$B$54)^2))))</f>
        <v>0.12812499999999999</v>
      </c>
      <c r="M163" s="48">
        <f>IF(M117=0,0,CHOOSE(Inputs!$B$51,IF(M117&gt;=Inputs!$B$54,Inputs!$B$52+Inputs!$B$53,Inputs!$B$52+Inputs!$B$53*(1.5*M117/Inputs!$B$54-0.5*(M117/Inputs!$B$54)^3)),Inputs!$B$52+Inputs!$B$53*(1-EXP(-3*M117/Inputs!$B$54)),Inputs!$B$52+Inputs!$B$53*(1-EXP(-3*(M117/Inputs!$B$54)^2))))</f>
        <v>0.14187184335382291</v>
      </c>
      <c r="N163" s="48">
        <f>IF(N117=0,0,CHOOSE(Inputs!$B$51,IF(N117&gt;=Inputs!$B$54,Inputs!$B$52+Inputs!$B$53,Inputs!$B$52+Inputs!$B$53*(1.5*N117/Inputs!$B$54-0.5*(N117/Inputs!$B$54)^3)),Inputs!$B$52+Inputs!$B$53*(1-EXP(-3*N117/Inputs!$B$54)),Inputs!$B$52+Inputs!$B$53*(1-EXP(-3*(N117/Inputs!$B$54)^2))))</f>
        <v>0.15000000000000002</v>
      </c>
      <c r="O163" s="48">
        <f>IF(O117=0,0,CHOOSE(Inputs!$B$51,IF(O117&gt;=Inputs!$B$54,Inputs!$B$52+Inputs!$B$53,Inputs!$B$52+Inputs!$B$53*(1.5*O117/Inputs!$B$54-0.5*(O117/Inputs!$B$54)^3)),Inputs!$B$52+Inputs!$B$53*(1-EXP(-3*O117/Inputs!$B$54)),Inputs!$B$52+Inputs!$B$53*(1-EXP(-3*(O117/Inputs!$B$54)^2))))</f>
        <v>0.15000000000000002</v>
      </c>
      <c r="P163" s="48">
        <f>IF(P117=0,0,CHOOSE(Inputs!$B$51,IF(P117&gt;=Inputs!$B$54,Inputs!$B$52+Inputs!$B$53,Inputs!$B$52+Inputs!$B$53*(1.5*P117/Inputs!$B$54-0.5*(P117/Inputs!$B$54)^3)),Inputs!$B$52+Inputs!$B$53*(1-EXP(-3*P117/Inputs!$B$54)),Inputs!$B$52+Inputs!$B$53*(1-EXP(-3*(P117/Inputs!$B$54)^2))))</f>
        <v>0.15000000000000002</v>
      </c>
      <c r="Q163" s="48">
        <f>IF(Q117=0,0,CHOOSE(Inputs!$B$51,IF(Q117&gt;=Inputs!$B$54,Inputs!$B$52+Inputs!$B$53,Inputs!$B$52+Inputs!$B$53*(1.5*Q117/Inputs!$B$54-0.5*(Q117/Inputs!$B$54)^3)),Inputs!$B$52+Inputs!$B$53*(1-EXP(-3*Q117/Inputs!$B$54)),Inputs!$B$52+Inputs!$B$53*(1-EXP(-3*(Q117/Inputs!$B$54)^2))))</f>
        <v>0</v>
      </c>
      <c r="R163" s="48">
        <f>IF(R117=0,0,CHOOSE(Inputs!$B$51,IF(R117&gt;=Inputs!$B$54,Inputs!$B$52+Inputs!$B$53,Inputs!$B$52+Inputs!$B$53*(1.5*R117/Inputs!$B$54-0.5*(R117/Inputs!$B$54)^3)),Inputs!$B$52+Inputs!$B$53*(1-EXP(-3*R117/Inputs!$B$54)),Inputs!$B$52+Inputs!$B$53*(1-EXP(-3*(R117/Inputs!$B$54)^2))))</f>
        <v>0.12812499999999999</v>
      </c>
      <c r="S163" s="48">
        <f>IF(S117=0,0,CHOOSE(Inputs!$B$51,IF(S117&gt;=Inputs!$B$54,Inputs!$B$52+Inputs!$B$53,Inputs!$B$52+Inputs!$B$53*(1.5*S117/Inputs!$B$54-0.5*(S117/Inputs!$B$54)^3)),Inputs!$B$52+Inputs!$B$53*(1-EXP(-3*S117/Inputs!$B$54)),Inputs!$B$52+Inputs!$B$53*(1-EXP(-3*(S117/Inputs!$B$54)^2))))</f>
        <v>0.15000000000000002</v>
      </c>
      <c r="T163" s="48">
        <f>IF(T117=0,0,CHOOSE(Inputs!$B$51,IF(T117&gt;=Inputs!$B$54,Inputs!$B$52+Inputs!$B$53,Inputs!$B$52+Inputs!$B$53*(1.5*T117/Inputs!$B$54-0.5*(T117/Inputs!$B$54)^3)),Inputs!$B$52+Inputs!$B$53*(1-EXP(-3*T117/Inputs!$B$54)),Inputs!$B$52+Inputs!$B$53*(1-EXP(-3*(T117/Inputs!$B$54)^2))))</f>
        <v>0.15000000000000002</v>
      </c>
      <c r="U163" s="48">
        <f>IF(U117=0,0,CHOOSE(Inputs!$B$51,IF(U117&gt;=Inputs!$B$54,Inputs!$B$52+Inputs!$B$53,Inputs!$B$52+Inputs!$B$53*(1.5*U117/Inputs!$B$54-0.5*(U117/Inputs!$B$54)^3)),Inputs!$B$52+Inputs!$B$53*(1-EXP(-3*U117/Inputs!$B$54)),Inputs!$B$52+Inputs!$B$53*(1-EXP(-3*(U117/Inputs!$B$54)^2))))</f>
        <v>0.15000000000000002</v>
      </c>
      <c r="V163" s="51">
        <v>1</v>
      </c>
      <c r="X163" s="48">
        <f>IF(V117=0,0,CHOOSE(Inputs!$B$51,IF(V117&gt;=Inputs!$B$54,Inputs!$B$52+Inputs!$B$53,Inputs!$B$52+Inputs!$B$53*(1.5*V117/Inputs!$B$54-0.5*(V117/Inputs!$B$54)^3)),Inputs!$B$52+Inputs!$B$53*(1-EXP(-3*V117/Inputs!$B$54)),Inputs!$B$52+Inputs!$B$53*(1-EXP(-3*(V117/Inputs!$B$54)^2))))</f>
        <v>0.15000000000000002</v>
      </c>
      <c r="Y163" s="60">
        <v>1.4506296674161388E-2</v>
      </c>
    </row>
    <row r="164" spans="1:25" x14ac:dyDescent="0.4">
      <c r="A164" s="41" t="str">
        <f>$A$22</f>
        <v>D2</v>
      </c>
      <c r="B164" s="48">
        <f>IF(B118=0,0,CHOOSE(Inputs!$B$51,IF(B118&gt;=Inputs!$B$54,Inputs!$B$52+Inputs!$B$53,Inputs!$B$52+Inputs!$B$53*(1.5*B118/Inputs!$B$54-0.5*(B118/Inputs!$B$54)^3)),Inputs!$B$52+Inputs!$B$53*(1-EXP(-3*B118/Inputs!$B$54)),Inputs!$B$52+Inputs!$B$53*(1-EXP(-3*(B118/Inputs!$B$54)^2))))</f>
        <v>0.15000000000000002</v>
      </c>
      <c r="C164" s="48">
        <f>IF(C118=0,0,CHOOSE(Inputs!$B$51,IF(C118&gt;=Inputs!$B$54,Inputs!$B$52+Inputs!$B$53,Inputs!$B$52+Inputs!$B$53*(1.5*C118/Inputs!$B$54-0.5*(C118/Inputs!$B$54)^3)),Inputs!$B$52+Inputs!$B$53*(1-EXP(-3*C118/Inputs!$B$54)),Inputs!$B$52+Inputs!$B$53*(1-EXP(-3*(C118/Inputs!$B$54)^2))))</f>
        <v>0.15000000000000002</v>
      </c>
      <c r="D164" s="48">
        <f>IF(D118=0,0,CHOOSE(Inputs!$B$51,IF(D118&gt;=Inputs!$B$54,Inputs!$B$52+Inputs!$B$53,Inputs!$B$52+Inputs!$B$53*(1.5*D118/Inputs!$B$54-0.5*(D118/Inputs!$B$54)^3)),Inputs!$B$52+Inputs!$B$53*(1-EXP(-3*D118/Inputs!$B$54)),Inputs!$B$52+Inputs!$B$53*(1-EXP(-3*(D118/Inputs!$B$54)^2))))</f>
        <v>0.15000000000000002</v>
      </c>
      <c r="E164" s="48">
        <f>IF(E118=0,0,CHOOSE(Inputs!$B$51,IF(E118&gt;=Inputs!$B$54,Inputs!$B$52+Inputs!$B$53,Inputs!$B$52+Inputs!$B$53*(1.5*E118/Inputs!$B$54-0.5*(E118/Inputs!$B$54)^3)),Inputs!$B$52+Inputs!$B$53*(1-EXP(-3*E118/Inputs!$B$54)),Inputs!$B$52+Inputs!$B$53*(1-EXP(-3*(E118/Inputs!$B$54)^2))))</f>
        <v>0.15000000000000002</v>
      </c>
      <c r="F164" s="48">
        <f>IF(F118=0,0,CHOOSE(Inputs!$B$51,IF(F118&gt;=Inputs!$B$54,Inputs!$B$52+Inputs!$B$53,Inputs!$B$52+Inputs!$B$53*(1.5*F118/Inputs!$B$54-0.5*(F118/Inputs!$B$54)^3)),Inputs!$B$52+Inputs!$B$53*(1-EXP(-3*F118/Inputs!$B$54)),Inputs!$B$52+Inputs!$B$53*(1-EXP(-3*(F118/Inputs!$B$54)^2))))</f>
        <v>0.15000000000000002</v>
      </c>
      <c r="G164" s="48">
        <f>IF(G118=0,0,CHOOSE(Inputs!$B$51,IF(G118&gt;=Inputs!$B$54,Inputs!$B$52+Inputs!$B$53,Inputs!$B$52+Inputs!$B$53*(1.5*G118/Inputs!$B$54-0.5*(G118/Inputs!$B$54)^3)),Inputs!$B$52+Inputs!$B$53*(1-EXP(-3*G118/Inputs!$B$54)),Inputs!$B$52+Inputs!$B$53*(1-EXP(-3*(G118/Inputs!$B$54)^2))))</f>
        <v>0.15000000000000002</v>
      </c>
      <c r="H164" s="48">
        <f>IF(H118=0,0,CHOOSE(Inputs!$B$51,IF(H118&gt;=Inputs!$B$54,Inputs!$B$52+Inputs!$B$53,Inputs!$B$52+Inputs!$B$53*(1.5*H118/Inputs!$B$54-0.5*(H118/Inputs!$B$54)^3)),Inputs!$B$52+Inputs!$B$53*(1-EXP(-3*H118/Inputs!$B$54)),Inputs!$B$52+Inputs!$B$53*(1-EXP(-3*(H118/Inputs!$B$54)^2))))</f>
        <v>0.15000000000000002</v>
      </c>
      <c r="I164" s="48">
        <f>IF(I118=0,0,CHOOSE(Inputs!$B$51,IF(I118&gt;=Inputs!$B$54,Inputs!$B$52+Inputs!$B$53,Inputs!$B$52+Inputs!$B$53*(1.5*I118/Inputs!$B$54-0.5*(I118/Inputs!$B$54)^3)),Inputs!$B$52+Inputs!$B$53*(1-EXP(-3*I118/Inputs!$B$54)),Inputs!$B$52+Inputs!$B$53*(1-EXP(-3*(I118/Inputs!$B$54)^2))))</f>
        <v>0.15000000000000002</v>
      </c>
      <c r="J164" s="48">
        <f>IF(J118=0,0,CHOOSE(Inputs!$B$51,IF(J118&gt;=Inputs!$B$54,Inputs!$B$52+Inputs!$B$53,Inputs!$B$52+Inputs!$B$53*(1.5*J118/Inputs!$B$54-0.5*(J118/Inputs!$B$54)^3)),Inputs!$B$52+Inputs!$B$53*(1-EXP(-3*J118/Inputs!$B$54)),Inputs!$B$52+Inputs!$B$53*(1-EXP(-3*(J118/Inputs!$B$54)^2))))</f>
        <v>0.15000000000000002</v>
      </c>
      <c r="K164" s="48">
        <f>IF(K118=0,0,CHOOSE(Inputs!$B$51,IF(K118&gt;=Inputs!$B$54,Inputs!$B$52+Inputs!$B$53,Inputs!$B$52+Inputs!$B$53*(1.5*K118/Inputs!$B$54-0.5*(K118/Inputs!$B$54)^3)),Inputs!$B$52+Inputs!$B$53*(1-EXP(-3*K118/Inputs!$B$54)),Inputs!$B$52+Inputs!$B$53*(1-EXP(-3*(K118/Inputs!$B$54)^2))))</f>
        <v>0.15000000000000002</v>
      </c>
      <c r="L164" s="48">
        <f>IF(L118=0,0,CHOOSE(Inputs!$B$51,IF(L118&gt;=Inputs!$B$54,Inputs!$B$52+Inputs!$B$53,Inputs!$B$52+Inputs!$B$53*(1.5*L118/Inputs!$B$54-0.5*(L118/Inputs!$B$54)^3)),Inputs!$B$52+Inputs!$B$53*(1-EXP(-3*L118/Inputs!$B$54)),Inputs!$B$52+Inputs!$B$53*(1-EXP(-3*(L118/Inputs!$B$54)^2))))</f>
        <v>0.14187184335382291</v>
      </c>
      <c r="M164" s="48">
        <f>IF(M118=0,0,CHOOSE(Inputs!$B$51,IF(M118&gt;=Inputs!$B$54,Inputs!$B$52+Inputs!$B$53,Inputs!$B$52+Inputs!$B$53*(1.5*M118/Inputs!$B$54-0.5*(M118/Inputs!$B$54)^3)),Inputs!$B$52+Inputs!$B$53*(1-EXP(-3*M118/Inputs!$B$54)),Inputs!$B$52+Inputs!$B$53*(1-EXP(-3*(M118/Inputs!$B$54)^2))))</f>
        <v>0.12812499999999999</v>
      </c>
      <c r="N164" s="48">
        <f>IF(N118=0,0,CHOOSE(Inputs!$B$51,IF(N118&gt;=Inputs!$B$54,Inputs!$B$52+Inputs!$B$53,Inputs!$B$52+Inputs!$B$53*(1.5*N118/Inputs!$B$54-0.5*(N118/Inputs!$B$54)^3)),Inputs!$B$52+Inputs!$B$53*(1-EXP(-3*N118/Inputs!$B$54)),Inputs!$B$52+Inputs!$B$53*(1-EXP(-3*(N118/Inputs!$B$54)^2))))</f>
        <v>0.14187184335382291</v>
      </c>
      <c r="O164" s="48">
        <f>IF(O118=0,0,CHOOSE(Inputs!$B$51,IF(O118&gt;=Inputs!$B$54,Inputs!$B$52+Inputs!$B$53,Inputs!$B$52+Inputs!$B$53*(1.5*O118/Inputs!$B$54-0.5*(O118/Inputs!$B$54)^3)),Inputs!$B$52+Inputs!$B$53*(1-EXP(-3*O118/Inputs!$B$54)),Inputs!$B$52+Inputs!$B$53*(1-EXP(-3*(O118/Inputs!$B$54)^2))))</f>
        <v>0.15000000000000002</v>
      </c>
      <c r="P164" s="48">
        <f>IF(P118=0,0,CHOOSE(Inputs!$B$51,IF(P118&gt;=Inputs!$B$54,Inputs!$B$52+Inputs!$B$53,Inputs!$B$52+Inputs!$B$53*(1.5*P118/Inputs!$B$54-0.5*(P118/Inputs!$B$54)^3)),Inputs!$B$52+Inputs!$B$53*(1-EXP(-3*P118/Inputs!$B$54)),Inputs!$B$52+Inputs!$B$53*(1-EXP(-3*(P118/Inputs!$B$54)^2))))</f>
        <v>0.15000000000000002</v>
      </c>
      <c r="Q164" s="48">
        <f>IF(Q118=0,0,CHOOSE(Inputs!$B$51,IF(Q118&gt;=Inputs!$B$54,Inputs!$B$52+Inputs!$B$53,Inputs!$B$52+Inputs!$B$53*(1.5*Q118/Inputs!$B$54-0.5*(Q118/Inputs!$B$54)^3)),Inputs!$B$52+Inputs!$B$53*(1-EXP(-3*Q118/Inputs!$B$54)),Inputs!$B$52+Inputs!$B$53*(1-EXP(-3*(Q118/Inputs!$B$54)^2))))</f>
        <v>0.12812499999999999</v>
      </c>
      <c r="R164" s="48">
        <f>IF(R118=0,0,CHOOSE(Inputs!$B$51,IF(R118&gt;=Inputs!$B$54,Inputs!$B$52+Inputs!$B$53,Inputs!$B$52+Inputs!$B$53*(1.5*R118/Inputs!$B$54-0.5*(R118/Inputs!$B$54)^3)),Inputs!$B$52+Inputs!$B$53*(1-EXP(-3*R118/Inputs!$B$54)),Inputs!$B$52+Inputs!$B$53*(1-EXP(-3*(R118/Inputs!$B$54)^2))))</f>
        <v>0</v>
      </c>
      <c r="S164" s="48">
        <f>IF(S118=0,0,CHOOSE(Inputs!$B$51,IF(S118&gt;=Inputs!$B$54,Inputs!$B$52+Inputs!$B$53,Inputs!$B$52+Inputs!$B$53*(1.5*S118/Inputs!$B$54-0.5*(S118/Inputs!$B$54)^3)),Inputs!$B$52+Inputs!$B$53*(1-EXP(-3*S118/Inputs!$B$54)),Inputs!$B$52+Inputs!$B$53*(1-EXP(-3*(S118/Inputs!$B$54)^2))))</f>
        <v>0.12812499999999999</v>
      </c>
      <c r="T164" s="48">
        <f>IF(T118=0,0,CHOOSE(Inputs!$B$51,IF(T118&gt;=Inputs!$B$54,Inputs!$B$52+Inputs!$B$53,Inputs!$B$52+Inputs!$B$53*(1.5*T118/Inputs!$B$54-0.5*(T118/Inputs!$B$54)^3)),Inputs!$B$52+Inputs!$B$53*(1-EXP(-3*T118/Inputs!$B$54)),Inputs!$B$52+Inputs!$B$53*(1-EXP(-3*(T118/Inputs!$B$54)^2))))</f>
        <v>0.15000000000000002</v>
      </c>
      <c r="U164" s="48">
        <f>IF(U118=0,0,CHOOSE(Inputs!$B$51,IF(U118&gt;=Inputs!$B$54,Inputs!$B$52+Inputs!$B$53,Inputs!$B$52+Inputs!$B$53*(1.5*U118/Inputs!$B$54-0.5*(U118/Inputs!$B$54)^3)),Inputs!$B$52+Inputs!$B$53*(1-EXP(-3*U118/Inputs!$B$54)),Inputs!$B$52+Inputs!$B$53*(1-EXP(-3*(U118/Inputs!$B$54)^2))))</f>
        <v>0.15000000000000002</v>
      </c>
      <c r="V164" s="51">
        <v>1</v>
      </c>
      <c r="X164" s="48">
        <f>IF(V118=0,0,CHOOSE(Inputs!$B$51,IF(V118&gt;=Inputs!$B$54,Inputs!$B$52+Inputs!$B$53,Inputs!$B$52+Inputs!$B$53*(1.5*V118/Inputs!$B$54-0.5*(V118/Inputs!$B$54)^3)),Inputs!$B$52+Inputs!$B$53*(1-EXP(-3*V118/Inputs!$B$54)),Inputs!$B$52+Inputs!$B$53*(1-EXP(-3*(V118/Inputs!$B$54)^2))))</f>
        <v>0.14571608262537417</v>
      </c>
      <c r="Y164" s="60">
        <v>1.4900795226275299E-2</v>
      </c>
    </row>
    <row r="165" spans="1:25" x14ac:dyDescent="0.4">
      <c r="A165" s="41" t="str">
        <f>$A$23</f>
        <v>D3</v>
      </c>
      <c r="B165" s="48">
        <f>IF(B119=0,0,CHOOSE(Inputs!$B$51,IF(B119&gt;=Inputs!$B$54,Inputs!$B$52+Inputs!$B$53,Inputs!$B$52+Inputs!$B$53*(1.5*B119/Inputs!$B$54-0.5*(B119/Inputs!$B$54)^3)),Inputs!$B$52+Inputs!$B$53*(1-EXP(-3*B119/Inputs!$B$54)),Inputs!$B$52+Inputs!$B$53*(1-EXP(-3*(B119/Inputs!$B$54)^2))))</f>
        <v>0.15000000000000002</v>
      </c>
      <c r="C165" s="48">
        <f>IF(C119=0,0,CHOOSE(Inputs!$B$51,IF(C119&gt;=Inputs!$B$54,Inputs!$B$52+Inputs!$B$53,Inputs!$B$52+Inputs!$B$53*(1.5*C119/Inputs!$B$54-0.5*(C119/Inputs!$B$54)^3)),Inputs!$B$52+Inputs!$B$53*(1-EXP(-3*C119/Inputs!$B$54)),Inputs!$B$52+Inputs!$B$53*(1-EXP(-3*(C119/Inputs!$B$54)^2))))</f>
        <v>0.15000000000000002</v>
      </c>
      <c r="D165" s="48">
        <f>IF(D119=0,0,CHOOSE(Inputs!$B$51,IF(D119&gt;=Inputs!$B$54,Inputs!$B$52+Inputs!$B$53,Inputs!$B$52+Inputs!$B$53*(1.5*D119/Inputs!$B$54-0.5*(D119/Inputs!$B$54)^3)),Inputs!$B$52+Inputs!$B$53*(1-EXP(-3*D119/Inputs!$B$54)),Inputs!$B$52+Inputs!$B$53*(1-EXP(-3*(D119/Inputs!$B$54)^2))))</f>
        <v>0.15000000000000002</v>
      </c>
      <c r="E165" s="48">
        <f>IF(E119=0,0,CHOOSE(Inputs!$B$51,IF(E119&gt;=Inputs!$B$54,Inputs!$B$52+Inputs!$B$53,Inputs!$B$52+Inputs!$B$53*(1.5*E119/Inputs!$B$54-0.5*(E119/Inputs!$B$54)^3)),Inputs!$B$52+Inputs!$B$53*(1-EXP(-3*E119/Inputs!$B$54)),Inputs!$B$52+Inputs!$B$53*(1-EXP(-3*(E119/Inputs!$B$54)^2))))</f>
        <v>0.15000000000000002</v>
      </c>
      <c r="F165" s="48">
        <f>IF(F119=0,0,CHOOSE(Inputs!$B$51,IF(F119&gt;=Inputs!$B$54,Inputs!$B$52+Inputs!$B$53,Inputs!$B$52+Inputs!$B$53*(1.5*F119/Inputs!$B$54-0.5*(F119/Inputs!$B$54)^3)),Inputs!$B$52+Inputs!$B$53*(1-EXP(-3*F119/Inputs!$B$54)),Inputs!$B$52+Inputs!$B$53*(1-EXP(-3*(F119/Inputs!$B$54)^2))))</f>
        <v>0.15000000000000002</v>
      </c>
      <c r="G165" s="48">
        <f>IF(G119=0,0,CHOOSE(Inputs!$B$51,IF(G119&gt;=Inputs!$B$54,Inputs!$B$52+Inputs!$B$53,Inputs!$B$52+Inputs!$B$53*(1.5*G119/Inputs!$B$54-0.5*(G119/Inputs!$B$54)^3)),Inputs!$B$52+Inputs!$B$53*(1-EXP(-3*G119/Inputs!$B$54)),Inputs!$B$52+Inputs!$B$53*(1-EXP(-3*(G119/Inputs!$B$54)^2))))</f>
        <v>0.15000000000000002</v>
      </c>
      <c r="H165" s="48">
        <f>IF(H119=0,0,CHOOSE(Inputs!$B$51,IF(H119&gt;=Inputs!$B$54,Inputs!$B$52+Inputs!$B$53,Inputs!$B$52+Inputs!$B$53*(1.5*H119/Inputs!$B$54-0.5*(H119/Inputs!$B$54)^3)),Inputs!$B$52+Inputs!$B$53*(1-EXP(-3*H119/Inputs!$B$54)),Inputs!$B$52+Inputs!$B$53*(1-EXP(-3*(H119/Inputs!$B$54)^2))))</f>
        <v>0.15000000000000002</v>
      </c>
      <c r="I165" s="48">
        <f>IF(I119=0,0,CHOOSE(Inputs!$B$51,IF(I119&gt;=Inputs!$B$54,Inputs!$B$52+Inputs!$B$53,Inputs!$B$52+Inputs!$B$53*(1.5*I119/Inputs!$B$54-0.5*(I119/Inputs!$B$54)^3)),Inputs!$B$52+Inputs!$B$53*(1-EXP(-3*I119/Inputs!$B$54)),Inputs!$B$52+Inputs!$B$53*(1-EXP(-3*(I119/Inputs!$B$54)^2))))</f>
        <v>0.15000000000000002</v>
      </c>
      <c r="J165" s="48">
        <f>IF(J119=0,0,CHOOSE(Inputs!$B$51,IF(J119&gt;=Inputs!$B$54,Inputs!$B$52+Inputs!$B$53,Inputs!$B$52+Inputs!$B$53*(1.5*J119/Inputs!$B$54-0.5*(J119/Inputs!$B$54)^3)),Inputs!$B$52+Inputs!$B$53*(1-EXP(-3*J119/Inputs!$B$54)),Inputs!$B$52+Inputs!$B$53*(1-EXP(-3*(J119/Inputs!$B$54)^2))))</f>
        <v>0.15000000000000002</v>
      </c>
      <c r="K165" s="48">
        <f>IF(K119=0,0,CHOOSE(Inputs!$B$51,IF(K119&gt;=Inputs!$B$54,Inputs!$B$52+Inputs!$B$53,Inputs!$B$52+Inputs!$B$53*(1.5*K119/Inputs!$B$54-0.5*(K119/Inputs!$B$54)^3)),Inputs!$B$52+Inputs!$B$53*(1-EXP(-3*K119/Inputs!$B$54)),Inputs!$B$52+Inputs!$B$53*(1-EXP(-3*(K119/Inputs!$B$54)^2))))</f>
        <v>0.15000000000000002</v>
      </c>
      <c r="L165" s="48">
        <f>IF(L119=0,0,CHOOSE(Inputs!$B$51,IF(L119&gt;=Inputs!$B$54,Inputs!$B$52+Inputs!$B$53,Inputs!$B$52+Inputs!$B$53*(1.5*L119/Inputs!$B$54-0.5*(L119/Inputs!$B$54)^3)),Inputs!$B$52+Inputs!$B$53*(1-EXP(-3*L119/Inputs!$B$54)),Inputs!$B$52+Inputs!$B$53*(1-EXP(-3*(L119/Inputs!$B$54)^2))))</f>
        <v>0.15000000000000002</v>
      </c>
      <c r="M165" s="48">
        <f>IF(M119=0,0,CHOOSE(Inputs!$B$51,IF(M119&gt;=Inputs!$B$54,Inputs!$B$52+Inputs!$B$53,Inputs!$B$52+Inputs!$B$53*(1.5*M119/Inputs!$B$54-0.5*(M119/Inputs!$B$54)^3)),Inputs!$B$52+Inputs!$B$53*(1-EXP(-3*M119/Inputs!$B$54)),Inputs!$B$52+Inputs!$B$53*(1-EXP(-3*(M119/Inputs!$B$54)^2))))</f>
        <v>0.14187184335382291</v>
      </c>
      <c r="N165" s="48">
        <f>IF(N119=0,0,CHOOSE(Inputs!$B$51,IF(N119&gt;=Inputs!$B$54,Inputs!$B$52+Inputs!$B$53,Inputs!$B$52+Inputs!$B$53*(1.5*N119/Inputs!$B$54-0.5*(N119/Inputs!$B$54)^3)),Inputs!$B$52+Inputs!$B$53*(1-EXP(-3*N119/Inputs!$B$54)),Inputs!$B$52+Inputs!$B$53*(1-EXP(-3*(N119/Inputs!$B$54)^2))))</f>
        <v>0.12812499999999999</v>
      </c>
      <c r="O165" s="48">
        <f>IF(O119=0,0,CHOOSE(Inputs!$B$51,IF(O119&gt;=Inputs!$B$54,Inputs!$B$52+Inputs!$B$53,Inputs!$B$52+Inputs!$B$53*(1.5*O119/Inputs!$B$54-0.5*(O119/Inputs!$B$54)^3)),Inputs!$B$52+Inputs!$B$53*(1-EXP(-3*O119/Inputs!$B$54)),Inputs!$B$52+Inputs!$B$53*(1-EXP(-3*(O119/Inputs!$B$54)^2))))</f>
        <v>0.14187184335382291</v>
      </c>
      <c r="P165" s="48">
        <f>IF(P119=0,0,CHOOSE(Inputs!$B$51,IF(P119&gt;=Inputs!$B$54,Inputs!$B$52+Inputs!$B$53,Inputs!$B$52+Inputs!$B$53*(1.5*P119/Inputs!$B$54-0.5*(P119/Inputs!$B$54)^3)),Inputs!$B$52+Inputs!$B$53*(1-EXP(-3*P119/Inputs!$B$54)),Inputs!$B$52+Inputs!$B$53*(1-EXP(-3*(P119/Inputs!$B$54)^2))))</f>
        <v>0.15000000000000002</v>
      </c>
      <c r="Q165" s="48">
        <f>IF(Q119=0,0,CHOOSE(Inputs!$B$51,IF(Q119&gt;=Inputs!$B$54,Inputs!$B$52+Inputs!$B$53,Inputs!$B$52+Inputs!$B$53*(1.5*Q119/Inputs!$B$54-0.5*(Q119/Inputs!$B$54)^3)),Inputs!$B$52+Inputs!$B$53*(1-EXP(-3*Q119/Inputs!$B$54)),Inputs!$B$52+Inputs!$B$53*(1-EXP(-3*(Q119/Inputs!$B$54)^2))))</f>
        <v>0.15000000000000002</v>
      </c>
      <c r="R165" s="48">
        <f>IF(R119=0,0,CHOOSE(Inputs!$B$51,IF(R119&gt;=Inputs!$B$54,Inputs!$B$52+Inputs!$B$53,Inputs!$B$52+Inputs!$B$53*(1.5*R119/Inputs!$B$54-0.5*(R119/Inputs!$B$54)^3)),Inputs!$B$52+Inputs!$B$53*(1-EXP(-3*R119/Inputs!$B$54)),Inputs!$B$52+Inputs!$B$53*(1-EXP(-3*(R119/Inputs!$B$54)^2))))</f>
        <v>0.12812499999999999</v>
      </c>
      <c r="S165" s="48">
        <f>IF(S119=0,0,CHOOSE(Inputs!$B$51,IF(S119&gt;=Inputs!$B$54,Inputs!$B$52+Inputs!$B$53,Inputs!$B$52+Inputs!$B$53*(1.5*S119/Inputs!$B$54-0.5*(S119/Inputs!$B$54)^3)),Inputs!$B$52+Inputs!$B$53*(1-EXP(-3*S119/Inputs!$B$54)),Inputs!$B$52+Inputs!$B$53*(1-EXP(-3*(S119/Inputs!$B$54)^2))))</f>
        <v>0</v>
      </c>
      <c r="T165" s="48">
        <f>IF(T119=0,0,CHOOSE(Inputs!$B$51,IF(T119&gt;=Inputs!$B$54,Inputs!$B$52+Inputs!$B$53,Inputs!$B$52+Inputs!$B$53*(1.5*T119/Inputs!$B$54-0.5*(T119/Inputs!$B$54)^3)),Inputs!$B$52+Inputs!$B$53*(1-EXP(-3*T119/Inputs!$B$54)),Inputs!$B$52+Inputs!$B$53*(1-EXP(-3*(T119/Inputs!$B$54)^2))))</f>
        <v>0.12812499999999999</v>
      </c>
      <c r="U165" s="48">
        <f>IF(U119=0,0,CHOOSE(Inputs!$B$51,IF(U119&gt;=Inputs!$B$54,Inputs!$B$52+Inputs!$B$53,Inputs!$B$52+Inputs!$B$53*(1.5*U119/Inputs!$B$54-0.5*(U119/Inputs!$B$54)^3)),Inputs!$B$52+Inputs!$B$53*(1-EXP(-3*U119/Inputs!$B$54)),Inputs!$B$52+Inputs!$B$53*(1-EXP(-3*(U119/Inputs!$B$54)^2))))</f>
        <v>0.15000000000000002</v>
      </c>
      <c r="V165" s="51">
        <v>1</v>
      </c>
      <c r="X165" s="48">
        <f>IF(V119=0,0,CHOOSE(Inputs!$B$51,IF(V119&gt;=Inputs!$B$54,Inputs!$B$52+Inputs!$B$53,Inputs!$B$52+Inputs!$B$53*(1.5*V119/Inputs!$B$54-0.5*(V119/Inputs!$B$54)^3)),Inputs!$B$52+Inputs!$B$53*(1-EXP(-3*V119/Inputs!$B$54)),Inputs!$B$52+Inputs!$B$53*(1-EXP(-3*(V119/Inputs!$B$54)^2))))</f>
        <v>0.14571608262537417</v>
      </c>
      <c r="Y165" s="60">
        <v>1.5765685577454558E-2</v>
      </c>
    </row>
    <row r="166" spans="1:25" x14ac:dyDescent="0.4">
      <c r="A166" s="41" t="str">
        <f>$A$24</f>
        <v>D4</v>
      </c>
      <c r="B166" s="48">
        <f>IF(B120=0,0,CHOOSE(Inputs!$B$51,IF(B120&gt;=Inputs!$B$54,Inputs!$B$52+Inputs!$B$53,Inputs!$B$52+Inputs!$B$53*(1.5*B120/Inputs!$B$54-0.5*(B120/Inputs!$B$54)^3)),Inputs!$B$52+Inputs!$B$53*(1-EXP(-3*B120/Inputs!$B$54)),Inputs!$B$52+Inputs!$B$53*(1-EXP(-3*(B120/Inputs!$B$54)^2))))</f>
        <v>0.15000000000000002</v>
      </c>
      <c r="C166" s="48">
        <f>IF(C120=0,0,CHOOSE(Inputs!$B$51,IF(C120&gt;=Inputs!$B$54,Inputs!$B$52+Inputs!$B$53,Inputs!$B$52+Inputs!$B$53*(1.5*C120/Inputs!$B$54-0.5*(C120/Inputs!$B$54)^3)),Inputs!$B$52+Inputs!$B$53*(1-EXP(-3*C120/Inputs!$B$54)),Inputs!$B$52+Inputs!$B$53*(1-EXP(-3*(C120/Inputs!$B$54)^2))))</f>
        <v>0.15000000000000002</v>
      </c>
      <c r="D166" s="48">
        <f>IF(D120=0,0,CHOOSE(Inputs!$B$51,IF(D120&gt;=Inputs!$B$54,Inputs!$B$52+Inputs!$B$53,Inputs!$B$52+Inputs!$B$53*(1.5*D120/Inputs!$B$54-0.5*(D120/Inputs!$B$54)^3)),Inputs!$B$52+Inputs!$B$53*(1-EXP(-3*D120/Inputs!$B$54)),Inputs!$B$52+Inputs!$B$53*(1-EXP(-3*(D120/Inputs!$B$54)^2))))</f>
        <v>0.15000000000000002</v>
      </c>
      <c r="E166" s="48">
        <f>IF(E120=0,0,CHOOSE(Inputs!$B$51,IF(E120&gt;=Inputs!$B$54,Inputs!$B$52+Inputs!$B$53,Inputs!$B$52+Inputs!$B$53*(1.5*E120/Inputs!$B$54-0.5*(E120/Inputs!$B$54)^3)),Inputs!$B$52+Inputs!$B$53*(1-EXP(-3*E120/Inputs!$B$54)),Inputs!$B$52+Inputs!$B$53*(1-EXP(-3*(E120/Inputs!$B$54)^2))))</f>
        <v>0.15000000000000002</v>
      </c>
      <c r="F166" s="48">
        <f>IF(F120=0,0,CHOOSE(Inputs!$B$51,IF(F120&gt;=Inputs!$B$54,Inputs!$B$52+Inputs!$B$53,Inputs!$B$52+Inputs!$B$53*(1.5*F120/Inputs!$B$54-0.5*(F120/Inputs!$B$54)^3)),Inputs!$B$52+Inputs!$B$53*(1-EXP(-3*F120/Inputs!$B$54)),Inputs!$B$52+Inputs!$B$53*(1-EXP(-3*(F120/Inputs!$B$54)^2))))</f>
        <v>0.15000000000000002</v>
      </c>
      <c r="G166" s="48">
        <f>IF(G120=0,0,CHOOSE(Inputs!$B$51,IF(G120&gt;=Inputs!$B$54,Inputs!$B$52+Inputs!$B$53,Inputs!$B$52+Inputs!$B$53*(1.5*G120/Inputs!$B$54-0.5*(G120/Inputs!$B$54)^3)),Inputs!$B$52+Inputs!$B$53*(1-EXP(-3*G120/Inputs!$B$54)),Inputs!$B$52+Inputs!$B$53*(1-EXP(-3*(G120/Inputs!$B$54)^2))))</f>
        <v>0.15000000000000002</v>
      </c>
      <c r="H166" s="48">
        <f>IF(H120=0,0,CHOOSE(Inputs!$B$51,IF(H120&gt;=Inputs!$B$54,Inputs!$B$52+Inputs!$B$53,Inputs!$B$52+Inputs!$B$53*(1.5*H120/Inputs!$B$54-0.5*(H120/Inputs!$B$54)^3)),Inputs!$B$52+Inputs!$B$53*(1-EXP(-3*H120/Inputs!$B$54)),Inputs!$B$52+Inputs!$B$53*(1-EXP(-3*(H120/Inputs!$B$54)^2))))</f>
        <v>0.15000000000000002</v>
      </c>
      <c r="I166" s="48">
        <f>IF(I120=0,0,CHOOSE(Inputs!$B$51,IF(I120&gt;=Inputs!$B$54,Inputs!$B$52+Inputs!$B$53,Inputs!$B$52+Inputs!$B$53*(1.5*I120/Inputs!$B$54-0.5*(I120/Inputs!$B$54)^3)),Inputs!$B$52+Inputs!$B$53*(1-EXP(-3*I120/Inputs!$B$54)),Inputs!$B$52+Inputs!$B$53*(1-EXP(-3*(I120/Inputs!$B$54)^2))))</f>
        <v>0.15000000000000002</v>
      </c>
      <c r="J166" s="48">
        <f>IF(J120=0,0,CHOOSE(Inputs!$B$51,IF(J120&gt;=Inputs!$B$54,Inputs!$B$52+Inputs!$B$53,Inputs!$B$52+Inputs!$B$53*(1.5*J120/Inputs!$B$54-0.5*(J120/Inputs!$B$54)^3)),Inputs!$B$52+Inputs!$B$53*(1-EXP(-3*J120/Inputs!$B$54)),Inputs!$B$52+Inputs!$B$53*(1-EXP(-3*(J120/Inputs!$B$54)^2))))</f>
        <v>0.15000000000000002</v>
      </c>
      <c r="K166" s="48">
        <f>IF(K120=0,0,CHOOSE(Inputs!$B$51,IF(K120&gt;=Inputs!$B$54,Inputs!$B$52+Inputs!$B$53,Inputs!$B$52+Inputs!$B$53*(1.5*K120/Inputs!$B$54-0.5*(K120/Inputs!$B$54)^3)),Inputs!$B$52+Inputs!$B$53*(1-EXP(-3*K120/Inputs!$B$54)),Inputs!$B$52+Inputs!$B$53*(1-EXP(-3*(K120/Inputs!$B$54)^2))))</f>
        <v>0.15000000000000002</v>
      </c>
      <c r="L166" s="48">
        <f>IF(L120=0,0,CHOOSE(Inputs!$B$51,IF(L120&gt;=Inputs!$B$54,Inputs!$B$52+Inputs!$B$53,Inputs!$B$52+Inputs!$B$53*(1.5*L120/Inputs!$B$54-0.5*(L120/Inputs!$B$54)^3)),Inputs!$B$52+Inputs!$B$53*(1-EXP(-3*L120/Inputs!$B$54)),Inputs!$B$52+Inputs!$B$53*(1-EXP(-3*(L120/Inputs!$B$54)^2))))</f>
        <v>0.15000000000000002</v>
      </c>
      <c r="M166" s="48">
        <f>IF(M120=0,0,CHOOSE(Inputs!$B$51,IF(M120&gt;=Inputs!$B$54,Inputs!$B$52+Inputs!$B$53,Inputs!$B$52+Inputs!$B$53*(1.5*M120/Inputs!$B$54-0.5*(M120/Inputs!$B$54)^3)),Inputs!$B$52+Inputs!$B$53*(1-EXP(-3*M120/Inputs!$B$54)),Inputs!$B$52+Inputs!$B$53*(1-EXP(-3*(M120/Inputs!$B$54)^2))))</f>
        <v>0.15000000000000002</v>
      </c>
      <c r="N166" s="48">
        <f>IF(N120=0,0,CHOOSE(Inputs!$B$51,IF(N120&gt;=Inputs!$B$54,Inputs!$B$52+Inputs!$B$53,Inputs!$B$52+Inputs!$B$53*(1.5*N120/Inputs!$B$54-0.5*(N120/Inputs!$B$54)^3)),Inputs!$B$52+Inputs!$B$53*(1-EXP(-3*N120/Inputs!$B$54)),Inputs!$B$52+Inputs!$B$53*(1-EXP(-3*(N120/Inputs!$B$54)^2))))</f>
        <v>0.14187184335382291</v>
      </c>
      <c r="O166" s="48">
        <f>IF(O120=0,0,CHOOSE(Inputs!$B$51,IF(O120&gt;=Inputs!$B$54,Inputs!$B$52+Inputs!$B$53,Inputs!$B$52+Inputs!$B$53*(1.5*O120/Inputs!$B$54-0.5*(O120/Inputs!$B$54)^3)),Inputs!$B$52+Inputs!$B$53*(1-EXP(-3*O120/Inputs!$B$54)),Inputs!$B$52+Inputs!$B$53*(1-EXP(-3*(O120/Inputs!$B$54)^2))))</f>
        <v>0.12812499999999999</v>
      </c>
      <c r="P166" s="48">
        <f>IF(P120=0,0,CHOOSE(Inputs!$B$51,IF(P120&gt;=Inputs!$B$54,Inputs!$B$52+Inputs!$B$53,Inputs!$B$52+Inputs!$B$53*(1.5*P120/Inputs!$B$54-0.5*(P120/Inputs!$B$54)^3)),Inputs!$B$52+Inputs!$B$53*(1-EXP(-3*P120/Inputs!$B$54)),Inputs!$B$52+Inputs!$B$53*(1-EXP(-3*(P120/Inputs!$B$54)^2))))</f>
        <v>0.14187184335382291</v>
      </c>
      <c r="Q166" s="48">
        <f>IF(Q120=0,0,CHOOSE(Inputs!$B$51,IF(Q120&gt;=Inputs!$B$54,Inputs!$B$52+Inputs!$B$53,Inputs!$B$52+Inputs!$B$53*(1.5*Q120/Inputs!$B$54-0.5*(Q120/Inputs!$B$54)^3)),Inputs!$B$52+Inputs!$B$53*(1-EXP(-3*Q120/Inputs!$B$54)),Inputs!$B$52+Inputs!$B$53*(1-EXP(-3*(Q120/Inputs!$B$54)^2))))</f>
        <v>0.15000000000000002</v>
      </c>
      <c r="R166" s="48">
        <f>IF(R120=0,0,CHOOSE(Inputs!$B$51,IF(R120&gt;=Inputs!$B$54,Inputs!$B$52+Inputs!$B$53,Inputs!$B$52+Inputs!$B$53*(1.5*R120/Inputs!$B$54-0.5*(R120/Inputs!$B$54)^3)),Inputs!$B$52+Inputs!$B$53*(1-EXP(-3*R120/Inputs!$B$54)),Inputs!$B$52+Inputs!$B$53*(1-EXP(-3*(R120/Inputs!$B$54)^2))))</f>
        <v>0.15000000000000002</v>
      </c>
      <c r="S166" s="48">
        <f>IF(S120=0,0,CHOOSE(Inputs!$B$51,IF(S120&gt;=Inputs!$B$54,Inputs!$B$52+Inputs!$B$53,Inputs!$B$52+Inputs!$B$53*(1.5*S120/Inputs!$B$54-0.5*(S120/Inputs!$B$54)^3)),Inputs!$B$52+Inputs!$B$53*(1-EXP(-3*S120/Inputs!$B$54)),Inputs!$B$52+Inputs!$B$53*(1-EXP(-3*(S120/Inputs!$B$54)^2))))</f>
        <v>0.12812499999999999</v>
      </c>
      <c r="T166" s="48">
        <f>IF(T120=0,0,CHOOSE(Inputs!$B$51,IF(T120&gt;=Inputs!$B$54,Inputs!$B$52+Inputs!$B$53,Inputs!$B$52+Inputs!$B$53*(1.5*T120/Inputs!$B$54-0.5*(T120/Inputs!$B$54)^3)),Inputs!$B$52+Inputs!$B$53*(1-EXP(-3*T120/Inputs!$B$54)),Inputs!$B$52+Inputs!$B$53*(1-EXP(-3*(T120/Inputs!$B$54)^2))))</f>
        <v>0</v>
      </c>
      <c r="U166" s="48">
        <f>IF(U120=0,0,CHOOSE(Inputs!$B$51,IF(U120&gt;=Inputs!$B$54,Inputs!$B$52+Inputs!$B$53,Inputs!$B$52+Inputs!$B$53*(1.5*U120/Inputs!$B$54-0.5*(U120/Inputs!$B$54)^3)),Inputs!$B$52+Inputs!$B$53*(1-EXP(-3*U120/Inputs!$B$54)),Inputs!$B$52+Inputs!$B$53*(1-EXP(-3*(U120/Inputs!$B$54)^2))))</f>
        <v>0.12812499999999999</v>
      </c>
      <c r="V166" s="51">
        <v>1</v>
      </c>
      <c r="X166" s="48">
        <f>IF(V120=0,0,CHOOSE(Inputs!$B$51,IF(V120&gt;=Inputs!$B$54,Inputs!$B$52+Inputs!$B$53,Inputs!$B$52+Inputs!$B$53*(1.5*V120/Inputs!$B$54-0.5*(V120/Inputs!$B$54)^3)),Inputs!$B$52+Inputs!$B$53*(1-EXP(-3*V120/Inputs!$B$54)),Inputs!$B$52+Inputs!$B$53*(1-EXP(-3*(V120/Inputs!$B$54)^2))))</f>
        <v>0.15000000000000002</v>
      </c>
      <c r="Y166" s="60">
        <v>1.0372301421220087E-2</v>
      </c>
    </row>
    <row r="167" spans="1:25" x14ac:dyDescent="0.4">
      <c r="A167" s="41" t="str">
        <f>$A$25</f>
        <v>D5</v>
      </c>
      <c r="B167" s="48">
        <f>IF(B121=0,0,CHOOSE(Inputs!$B$51,IF(B121&gt;=Inputs!$B$54,Inputs!$B$52+Inputs!$B$53,Inputs!$B$52+Inputs!$B$53*(1.5*B121/Inputs!$B$54-0.5*(B121/Inputs!$B$54)^3)),Inputs!$B$52+Inputs!$B$53*(1-EXP(-3*B121/Inputs!$B$54)),Inputs!$B$52+Inputs!$B$53*(1-EXP(-3*(B121/Inputs!$B$54)^2))))</f>
        <v>0.15000000000000002</v>
      </c>
      <c r="C167" s="48">
        <f>IF(C121=0,0,CHOOSE(Inputs!$B$51,IF(C121&gt;=Inputs!$B$54,Inputs!$B$52+Inputs!$B$53,Inputs!$B$52+Inputs!$B$53*(1.5*C121/Inputs!$B$54-0.5*(C121/Inputs!$B$54)^3)),Inputs!$B$52+Inputs!$B$53*(1-EXP(-3*C121/Inputs!$B$54)),Inputs!$B$52+Inputs!$B$53*(1-EXP(-3*(C121/Inputs!$B$54)^2))))</f>
        <v>0.15000000000000002</v>
      </c>
      <c r="D167" s="48">
        <f>IF(D121=0,0,CHOOSE(Inputs!$B$51,IF(D121&gt;=Inputs!$B$54,Inputs!$B$52+Inputs!$B$53,Inputs!$B$52+Inputs!$B$53*(1.5*D121/Inputs!$B$54-0.5*(D121/Inputs!$B$54)^3)),Inputs!$B$52+Inputs!$B$53*(1-EXP(-3*D121/Inputs!$B$54)),Inputs!$B$52+Inputs!$B$53*(1-EXP(-3*(D121/Inputs!$B$54)^2))))</f>
        <v>0.15000000000000002</v>
      </c>
      <c r="E167" s="48">
        <f>IF(E121=0,0,CHOOSE(Inputs!$B$51,IF(E121&gt;=Inputs!$B$54,Inputs!$B$52+Inputs!$B$53,Inputs!$B$52+Inputs!$B$53*(1.5*E121/Inputs!$B$54-0.5*(E121/Inputs!$B$54)^3)),Inputs!$B$52+Inputs!$B$53*(1-EXP(-3*E121/Inputs!$B$54)),Inputs!$B$52+Inputs!$B$53*(1-EXP(-3*(E121/Inputs!$B$54)^2))))</f>
        <v>0.15000000000000002</v>
      </c>
      <c r="F167" s="48">
        <f>IF(F121=0,0,CHOOSE(Inputs!$B$51,IF(F121&gt;=Inputs!$B$54,Inputs!$B$52+Inputs!$B$53,Inputs!$B$52+Inputs!$B$53*(1.5*F121/Inputs!$B$54-0.5*(F121/Inputs!$B$54)^3)),Inputs!$B$52+Inputs!$B$53*(1-EXP(-3*F121/Inputs!$B$54)),Inputs!$B$52+Inputs!$B$53*(1-EXP(-3*(F121/Inputs!$B$54)^2))))</f>
        <v>0.15000000000000002</v>
      </c>
      <c r="G167" s="48">
        <f>IF(G121=0,0,CHOOSE(Inputs!$B$51,IF(G121&gt;=Inputs!$B$54,Inputs!$B$52+Inputs!$B$53,Inputs!$B$52+Inputs!$B$53*(1.5*G121/Inputs!$B$54-0.5*(G121/Inputs!$B$54)^3)),Inputs!$B$52+Inputs!$B$53*(1-EXP(-3*G121/Inputs!$B$54)),Inputs!$B$52+Inputs!$B$53*(1-EXP(-3*(G121/Inputs!$B$54)^2))))</f>
        <v>0.15000000000000002</v>
      </c>
      <c r="H167" s="48">
        <f>IF(H121=0,0,CHOOSE(Inputs!$B$51,IF(H121&gt;=Inputs!$B$54,Inputs!$B$52+Inputs!$B$53,Inputs!$B$52+Inputs!$B$53*(1.5*H121/Inputs!$B$54-0.5*(H121/Inputs!$B$54)^3)),Inputs!$B$52+Inputs!$B$53*(1-EXP(-3*H121/Inputs!$B$54)),Inputs!$B$52+Inputs!$B$53*(1-EXP(-3*(H121/Inputs!$B$54)^2))))</f>
        <v>0.15000000000000002</v>
      </c>
      <c r="I167" s="48">
        <f>IF(I121=0,0,CHOOSE(Inputs!$B$51,IF(I121&gt;=Inputs!$B$54,Inputs!$B$52+Inputs!$B$53,Inputs!$B$52+Inputs!$B$53*(1.5*I121/Inputs!$B$54-0.5*(I121/Inputs!$B$54)^3)),Inputs!$B$52+Inputs!$B$53*(1-EXP(-3*I121/Inputs!$B$54)),Inputs!$B$52+Inputs!$B$53*(1-EXP(-3*(I121/Inputs!$B$54)^2))))</f>
        <v>0.15000000000000002</v>
      </c>
      <c r="J167" s="48">
        <f>IF(J121=0,0,CHOOSE(Inputs!$B$51,IF(J121&gt;=Inputs!$B$54,Inputs!$B$52+Inputs!$B$53,Inputs!$B$52+Inputs!$B$53*(1.5*J121/Inputs!$B$54-0.5*(J121/Inputs!$B$54)^3)),Inputs!$B$52+Inputs!$B$53*(1-EXP(-3*J121/Inputs!$B$54)),Inputs!$B$52+Inputs!$B$53*(1-EXP(-3*(J121/Inputs!$B$54)^2))))</f>
        <v>0.15000000000000002</v>
      </c>
      <c r="K167" s="48">
        <f>IF(K121=0,0,CHOOSE(Inputs!$B$51,IF(K121&gt;=Inputs!$B$54,Inputs!$B$52+Inputs!$B$53,Inputs!$B$52+Inputs!$B$53*(1.5*K121/Inputs!$B$54-0.5*(K121/Inputs!$B$54)^3)),Inputs!$B$52+Inputs!$B$53*(1-EXP(-3*K121/Inputs!$B$54)),Inputs!$B$52+Inputs!$B$53*(1-EXP(-3*(K121/Inputs!$B$54)^2))))</f>
        <v>0.15000000000000002</v>
      </c>
      <c r="L167" s="48">
        <f>IF(L121=0,0,CHOOSE(Inputs!$B$51,IF(L121&gt;=Inputs!$B$54,Inputs!$B$52+Inputs!$B$53,Inputs!$B$52+Inputs!$B$53*(1.5*L121/Inputs!$B$54-0.5*(L121/Inputs!$B$54)^3)),Inputs!$B$52+Inputs!$B$53*(1-EXP(-3*L121/Inputs!$B$54)),Inputs!$B$52+Inputs!$B$53*(1-EXP(-3*(L121/Inputs!$B$54)^2))))</f>
        <v>0.15000000000000002</v>
      </c>
      <c r="M167" s="48">
        <f>IF(M121=0,0,CHOOSE(Inputs!$B$51,IF(M121&gt;=Inputs!$B$54,Inputs!$B$52+Inputs!$B$53,Inputs!$B$52+Inputs!$B$53*(1.5*M121/Inputs!$B$54-0.5*(M121/Inputs!$B$54)^3)),Inputs!$B$52+Inputs!$B$53*(1-EXP(-3*M121/Inputs!$B$54)),Inputs!$B$52+Inputs!$B$53*(1-EXP(-3*(M121/Inputs!$B$54)^2))))</f>
        <v>0.15000000000000002</v>
      </c>
      <c r="N167" s="48">
        <f>IF(N121=0,0,CHOOSE(Inputs!$B$51,IF(N121&gt;=Inputs!$B$54,Inputs!$B$52+Inputs!$B$53,Inputs!$B$52+Inputs!$B$53*(1.5*N121/Inputs!$B$54-0.5*(N121/Inputs!$B$54)^3)),Inputs!$B$52+Inputs!$B$53*(1-EXP(-3*N121/Inputs!$B$54)),Inputs!$B$52+Inputs!$B$53*(1-EXP(-3*(N121/Inputs!$B$54)^2))))</f>
        <v>0.15000000000000002</v>
      </c>
      <c r="O167" s="48">
        <f>IF(O121=0,0,CHOOSE(Inputs!$B$51,IF(O121&gt;=Inputs!$B$54,Inputs!$B$52+Inputs!$B$53,Inputs!$B$52+Inputs!$B$53*(1.5*O121/Inputs!$B$54-0.5*(O121/Inputs!$B$54)^3)),Inputs!$B$52+Inputs!$B$53*(1-EXP(-3*O121/Inputs!$B$54)),Inputs!$B$52+Inputs!$B$53*(1-EXP(-3*(O121/Inputs!$B$54)^2))))</f>
        <v>0.14187184335382291</v>
      </c>
      <c r="P167" s="48">
        <f>IF(P121=0,0,CHOOSE(Inputs!$B$51,IF(P121&gt;=Inputs!$B$54,Inputs!$B$52+Inputs!$B$53,Inputs!$B$52+Inputs!$B$53*(1.5*P121/Inputs!$B$54-0.5*(P121/Inputs!$B$54)^3)),Inputs!$B$52+Inputs!$B$53*(1-EXP(-3*P121/Inputs!$B$54)),Inputs!$B$52+Inputs!$B$53*(1-EXP(-3*(P121/Inputs!$B$54)^2))))</f>
        <v>0.12812499999999999</v>
      </c>
      <c r="Q167" s="48">
        <f>IF(Q121=0,0,CHOOSE(Inputs!$B$51,IF(Q121&gt;=Inputs!$B$54,Inputs!$B$52+Inputs!$B$53,Inputs!$B$52+Inputs!$B$53*(1.5*Q121/Inputs!$B$54-0.5*(Q121/Inputs!$B$54)^3)),Inputs!$B$52+Inputs!$B$53*(1-EXP(-3*Q121/Inputs!$B$54)),Inputs!$B$52+Inputs!$B$53*(1-EXP(-3*(Q121/Inputs!$B$54)^2))))</f>
        <v>0.15000000000000002</v>
      </c>
      <c r="R167" s="48">
        <f>IF(R121=0,0,CHOOSE(Inputs!$B$51,IF(R121&gt;=Inputs!$B$54,Inputs!$B$52+Inputs!$B$53,Inputs!$B$52+Inputs!$B$53*(1.5*R121/Inputs!$B$54-0.5*(R121/Inputs!$B$54)^3)),Inputs!$B$52+Inputs!$B$53*(1-EXP(-3*R121/Inputs!$B$54)),Inputs!$B$52+Inputs!$B$53*(1-EXP(-3*(R121/Inputs!$B$54)^2))))</f>
        <v>0.15000000000000002</v>
      </c>
      <c r="S167" s="48">
        <f>IF(S121=0,0,CHOOSE(Inputs!$B$51,IF(S121&gt;=Inputs!$B$54,Inputs!$B$52+Inputs!$B$53,Inputs!$B$52+Inputs!$B$53*(1.5*S121/Inputs!$B$54-0.5*(S121/Inputs!$B$54)^3)),Inputs!$B$52+Inputs!$B$53*(1-EXP(-3*S121/Inputs!$B$54)),Inputs!$B$52+Inputs!$B$53*(1-EXP(-3*(S121/Inputs!$B$54)^2))))</f>
        <v>0.15000000000000002</v>
      </c>
      <c r="T167" s="48">
        <f>IF(T121=0,0,CHOOSE(Inputs!$B$51,IF(T121&gt;=Inputs!$B$54,Inputs!$B$52+Inputs!$B$53,Inputs!$B$52+Inputs!$B$53*(1.5*T121/Inputs!$B$54-0.5*(T121/Inputs!$B$54)^3)),Inputs!$B$52+Inputs!$B$53*(1-EXP(-3*T121/Inputs!$B$54)),Inputs!$B$52+Inputs!$B$53*(1-EXP(-3*(T121/Inputs!$B$54)^2))))</f>
        <v>0.12812499999999999</v>
      </c>
      <c r="U167" s="48">
        <f>IF(U121=0,0,CHOOSE(Inputs!$B$51,IF(U121&gt;=Inputs!$B$54,Inputs!$B$52+Inputs!$B$53,Inputs!$B$52+Inputs!$B$53*(1.5*U121/Inputs!$B$54-0.5*(U121/Inputs!$B$54)^3)),Inputs!$B$52+Inputs!$B$53*(1-EXP(-3*U121/Inputs!$B$54)),Inputs!$B$52+Inputs!$B$53*(1-EXP(-3*(U121/Inputs!$B$54)^2))))</f>
        <v>0</v>
      </c>
      <c r="V167" s="51">
        <v>1</v>
      </c>
      <c r="X167" s="48">
        <f>IF(V121=0,0,CHOOSE(Inputs!$B$51,IF(V121&gt;=Inputs!$B$54,Inputs!$B$52+Inputs!$B$53,Inputs!$B$52+Inputs!$B$53*(1.5*V121/Inputs!$B$54-0.5*(V121/Inputs!$B$54)^3)),Inputs!$B$52+Inputs!$B$53*(1-EXP(-3*V121/Inputs!$B$54)),Inputs!$B$52+Inputs!$B$53*(1-EXP(-3*(V121/Inputs!$B$54)^2))))</f>
        <v>0.15000000000000002</v>
      </c>
      <c r="Y167" s="60">
        <v>2.4005259668517763E-2</v>
      </c>
    </row>
    <row r="168" spans="1:25" x14ac:dyDescent="0.4">
      <c r="A168" s="47" t="s">
        <v>422</v>
      </c>
      <c r="B168" s="51">
        <v>1</v>
      </c>
      <c r="C168" s="51">
        <v>1</v>
      </c>
      <c r="D168" s="51">
        <v>1</v>
      </c>
      <c r="E168" s="51">
        <v>1</v>
      </c>
      <c r="F168" s="51">
        <v>1</v>
      </c>
      <c r="G168" s="51">
        <v>1</v>
      </c>
      <c r="H168" s="51">
        <v>1</v>
      </c>
      <c r="I168" s="51">
        <v>1</v>
      </c>
      <c r="J168" s="51">
        <v>1</v>
      </c>
      <c r="K168" s="51">
        <v>1</v>
      </c>
      <c r="L168" s="51">
        <v>1</v>
      </c>
      <c r="M168" s="51">
        <v>1</v>
      </c>
      <c r="N168" s="51">
        <v>1</v>
      </c>
      <c r="O168" s="51">
        <v>1</v>
      </c>
      <c r="P168" s="51">
        <v>1</v>
      </c>
      <c r="Q168" s="51">
        <v>1</v>
      </c>
      <c r="R168" s="51">
        <v>1</v>
      </c>
      <c r="S168" s="51">
        <v>1</v>
      </c>
      <c r="T168" s="51">
        <v>1</v>
      </c>
      <c r="U168" s="51">
        <v>1</v>
      </c>
      <c r="V168" s="51">
        <v>0</v>
      </c>
      <c r="X168" s="51">
        <v>1</v>
      </c>
      <c r="Y168" s="60">
        <v>4.3501566474614395E-3</v>
      </c>
    </row>
  </sheetData>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74"/>
  <sheetViews>
    <sheetView showGridLines="0" zoomScaleNormal="100" workbookViewId="0">
      <pane ySplit="5" topLeftCell="A6" activePane="bottomLeft" state="frozen"/>
      <selection pane="bottomLeft"/>
    </sheetView>
  </sheetViews>
  <sheetFormatPr defaultColWidth="8.69140625" defaultRowHeight="14.6" x14ac:dyDescent="0.4"/>
  <cols>
    <col min="1" max="1" width="46" customWidth="1"/>
    <col min="2" max="3" width="14" customWidth="1"/>
    <col min="4" max="4" width="16" customWidth="1"/>
    <col min="5" max="5" width="14" customWidth="1"/>
    <col min="6" max="9" width="11" customWidth="1"/>
    <col min="10" max="11" width="14" customWidth="1"/>
    <col min="12" max="12" width="16" customWidth="1"/>
  </cols>
  <sheetData>
    <row r="1" spans="1:12" ht="17.25" customHeight="1" x14ac:dyDescent="0.4">
      <c r="A1" s="7" t="s">
        <v>423</v>
      </c>
    </row>
    <row r="2" spans="1:12" x14ac:dyDescent="0.4">
      <c r="A2" s="9" t="s">
        <v>424</v>
      </c>
    </row>
    <row r="4" spans="1:12" x14ac:dyDescent="0.4">
      <c r="A4" s="40" t="s">
        <v>425</v>
      </c>
      <c r="B4" s="40"/>
      <c r="C4" s="40"/>
      <c r="D4" s="40"/>
      <c r="E4" s="40"/>
      <c r="F4" s="40"/>
      <c r="G4" s="40"/>
      <c r="H4" s="40"/>
      <c r="I4" s="40"/>
      <c r="J4" s="40"/>
      <c r="K4" s="40"/>
      <c r="L4" s="40"/>
    </row>
    <row r="5" spans="1:12" ht="42" customHeight="1" x14ac:dyDescent="0.4">
      <c r="A5" s="10" t="s">
        <v>281</v>
      </c>
      <c r="B5" s="10" t="s">
        <v>426</v>
      </c>
      <c r="C5" s="10" t="s">
        <v>427</v>
      </c>
      <c r="D5" s="10" t="s">
        <v>428</v>
      </c>
      <c r="E5" s="10" t="s">
        <v>429</v>
      </c>
      <c r="F5" s="10" t="s">
        <v>430</v>
      </c>
      <c r="G5" s="10" t="s">
        <v>431</v>
      </c>
      <c r="H5" s="10" t="s">
        <v>432</v>
      </c>
      <c r="I5" s="10" t="s">
        <v>433</v>
      </c>
      <c r="J5" s="10" t="s">
        <v>434</v>
      </c>
      <c r="K5" s="10" t="s">
        <v>435</v>
      </c>
      <c r="L5" s="10" t="s">
        <v>436</v>
      </c>
    </row>
    <row r="6" spans="1:12" ht="13.5" customHeight="1" x14ac:dyDescent="0.4">
      <c r="A6" s="41" t="str">
        <f>Reserve!A6</f>
        <v>A1</v>
      </c>
      <c r="B6" s="44">
        <f>Reserve!B6+Reserve!C6</f>
        <v>26.5</v>
      </c>
      <c r="C6" s="64">
        <f>IF(Reserve!I6="Yes",1,0)</f>
        <v>1</v>
      </c>
      <c r="D6" s="51">
        <f>ROUNDUP(B6/Inputs!$B$59,0)</f>
        <v>3</v>
      </c>
      <c r="E6" s="46">
        <f>DEGREES(ATAN(B6/(B6/TAN(RADIANS(Inputs!$B$60))+(D6-1)*Inputs!$B$61)))</f>
        <v>45.939135213276309</v>
      </c>
      <c r="F6" s="50">
        <f t="shared" ref="F6:F25" si="0">IF($C6=1,IF(IFERROR(INDEX($C$6:$C$25,MATCH(CHAR(CODE(LEFT($A6,1))-1)&amp;MID($A6,2,9),$A$6:$A$25,0)),0)=1,0,1),0)</f>
        <v>1</v>
      </c>
      <c r="G6" s="50">
        <f t="shared" ref="G6:G25" si="1">IF($C6=1,IF(IFERROR(INDEX($C$6:$C$25,MATCH(CHAR(CODE(LEFT($A6,1))+1)&amp;MID($A6,2,9),$A$6:$A$25,0)),0)=1,0,1),0)</f>
        <v>0</v>
      </c>
      <c r="H6" s="50">
        <f t="shared" ref="H6:H25" si="2">IF($C6=1,IF(IFERROR(INDEX($C$6:$C$25,MATCH(LEFT($A6,1)&amp;(VALUE(MID($A6,2,9))-1),$A$6:$A$25,0)),0)=1,0,1),0)</f>
        <v>1</v>
      </c>
      <c r="I6" s="50">
        <f t="shared" ref="I6:I25" si="3">IF($C6=1,IF(IFERROR(INDEX($C$6:$C$25,MATCH(LEFT($A6,1)&amp;(VALUE(MID($A6,2,9))+1),$A$6:$A$25,0)),0)=1,0,1),0)</f>
        <v>0</v>
      </c>
      <c r="J6" s="42">
        <f>(F6+G6)*Inputs!$B$6+(H6+I6)*Inputs!$B$7</f>
        <v>200</v>
      </c>
      <c r="K6" s="46">
        <f t="shared" ref="K6:K25" si="4">IF(J6&gt;0,B6,0)</f>
        <v>26.5</v>
      </c>
      <c r="L6" s="42">
        <f t="shared" ref="L6:L25" si="5">J6*0.5*B6^2/TAN(RADIANS(E6))</f>
        <v>67959.809701344042</v>
      </c>
    </row>
    <row r="7" spans="1:12" ht="13.5" customHeight="1" x14ac:dyDescent="0.4">
      <c r="A7" s="41" t="str">
        <f>Reserve!A7</f>
        <v>A2</v>
      </c>
      <c r="B7" s="44">
        <f>Reserve!B7+Reserve!C7</f>
        <v>31</v>
      </c>
      <c r="C7" s="64">
        <f>IF(Reserve!I7="Yes",1,0)</f>
        <v>1</v>
      </c>
      <c r="D7" s="51">
        <f>ROUNDUP(B7/Inputs!$B$59,0)</f>
        <v>4</v>
      </c>
      <c r="E7" s="46">
        <f>DEGREES(ATAN(B7/(B7/TAN(RADIANS(Inputs!$B$60))+(D7-1)*Inputs!$B$61)))</f>
        <v>41.302803728020244</v>
      </c>
      <c r="F7" s="50">
        <f t="shared" si="0"/>
        <v>1</v>
      </c>
      <c r="G7" s="50">
        <f t="shared" si="1"/>
        <v>0</v>
      </c>
      <c r="H7" s="50">
        <f t="shared" si="2"/>
        <v>0</v>
      </c>
      <c r="I7" s="50">
        <f t="shared" si="3"/>
        <v>0</v>
      </c>
      <c r="J7" s="42">
        <f>(F7+G7)*Inputs!$B$6+(H7+I7)*Inputs!$B$7</f>
        <v>100</v>
      </c>
      <c r="K7" s="46">
        <f t="shared" si="4"/>
        <v>31</v>
      </c>
      <c r="L7" s="42">
        <f t="shared" si="5"/>
        <v>54688.769756491034</v>
      </c>
    </row>
    <row r="8" spans="1:12" ht="13.5" customHeight="1" x14ac:dyDescent="0.4">
      <c r="A8" s="41" t="str">
        <f>Reserve!A8</f>
        <v>A3</v>
      </c>
      <c r="B8" s="44">
        <f>Reserve!B8+Reserve!C8</f>
        <v>36.5</v>
      </c>
      <c r="C8" s="64">
        <f>IF(Reserve!I8="Yes",1,0)</f>
        <v>1</v>
      </c>
      <c r="D8" s="51">
        <f>ROUNDUP(B8/Inputs!$B$59,0)</f>
        <v>4</v>
      </c>
      <c r="E8" s="46">
        <f>DEGREES(ATAN(B8/(B8/TAN(RADIANS(Inputs!$B$60))+(D8-1)*Inputs!$B$61)))</f>
        <v>44.390518531820611</v>
      </c>
      <c r="F8" s="50">
        <f t="shared" si="0"/>
        <v>1</v>
      </c>
      <c r="G8" s="50">
        <f t="shared" si="1"/>
        <v>0</v>
      </c>
      <c r="H8" s="50">
        <f t="shared" si="2"/>
        <v>0</v>
      </c>
      <c r="I8" s="50">
        <f t="shared" si="3"/>
        <v>0</v>
      </c>
      <c r="J8" s="42">
        <f>(F8+G8)*Inputs!$B$6+(H8+I8)*Inputs!$B$7</f>
        <v>100</v>
      </c>
      <c r="K8" s="46">
        <f t="shared" si="4"/>
        <v>36.5</v>
      </c>
      <c r="L8" s="42">
        <f t="shared" si="5"/>
        <v>68044.967230057402</v>
      </c>
    </row>
    <row r="9" spans="1:12" ht="13.5" customHeight="1" x14ac:dyDescent="0.4">
      <c r="A9" s="41" t="str">
        <f>Reserve!A9</f>
        <v>A4</v>
      </c>
      <c r="B9" s="44">
        <f>Reserve!B9+Reserve!C9</f>
        <v>43</v>
      </c>
      <c r="C9" s="64">
        <f>IF(Reserve!I9="Yes",1,0)</f>
        <v>1</v>
      </c>
      <c r="D9" s="51">
        <f>ROUNDUP(B9/Inputs!$B$59,0)</f>
        <v>5</v>
      </c>
      <c r="E9" s="46">
        <f>DEGREES(ATAN(B9/(B9/TAN(RADIANS(Inputs!$B$60))+(D9-1)*Inputs!$B$61)))</f>
        <v>42.063087709780511</v>
      </c>
      <c r="F9" s="50">
        <f t="shared" si="0"/>
        <v>1</v>
      </c>
      <c r="G9" s="50">
        <f t="shared" si="1"/>
        <v>0</v>
      </c>
      <c r="H9" s="50">
        <f t="shared" si="2"/>
        <v>0</v>
      </c>
      <c r="I9" s="50">
        <f t="shared" si="3"/>
        <v>1</v>
      </c>
      <c r="J9" s="42">
        <f>(F9+G9)*Inputs!$B$6+(H9+I9)*Inputs!$B$7</f>
        <v>200</v>
      </c>
      <c r="K9" s="46">
        <f t="shared" si="4"/>
        <v>43</v>
      </c>
      <c r="L9" s="42">
        <f t="shared" si="5"/>
        <v>204898.09631582088</v>
      </c>
    </row>
    <row r="10" spans="1:12" ht="13.5" customHeight="1" x14ac:dyDescent="0.4">
      <c r="A10" s="41" t="str">
        <f>Reserve!A10</f>
        <v>A5</v>
      </c>
      <c r="B10" s="44">
        <f>Reserve!B10+Reserve!C10</f>
        <v>51.5</v>
      </c>
      <c r="C10" s="64">
        <f>IF(Reserve!I10="Yes",1,0)</f>
        <v>0</v>
      </c>
      <c r="D10" s="51">
        <f>ROUNDUP(B10/Inputs!$B$59,0)</f>
        <v>6</v>
      </c>
      <c r="E10" s="46">
        <f>DEGREES(ATAN(B10/(B10/TAN(RADIANS(Inputs!$B$60))+(D10-1)*Inputs!$B$61)))</f>
        <v>41.24034217548266</v>
      </c>
      <c r="F10" s="50">
        <f t="shared" si="0"/>
        <v>0</v>
      </c>
      <c r="G10" s="50">
        <f t="shared" si="1"/>
        <v>0</v>
      </c>
      <c r="H10" s="50">
        <f t="shared" si="2"/>
        <v>0</v>
      </c>
      <c r="I10" s="50">
        <f t="shared" si="3"/>
        <v>0</v>
      </c>
      <c r="J10" s="42">
        <f>(F10+G10)*Inputs!$B$6+(H10+I10)*Inputs!$B$7</f>
        <v>0</v>
      </c>
      <c r="K10" s="46">
        <f t="shared" si="4"/>
        <v>0</v>
      </c>
      <c r="L10" s="42">
        <f t="shared" si="5"/>
        <v>0</v>
      </c>
    </row>
    <row r="11" spans="1:12" ht="13.5" customHeight="1" x14ac:dyDescent="0.4">
      <c r="A11" s="41" t="str">
        <f>Reserve!A11</f>
        <v>B1</v>
      </c>
      <c r="B11" s="44">
        <f>Reserve!B11+Reserve!C11</f>
        <v>29</v>
      </c>
      <c r="C11" s="64">
        <f>IF(Reserve!I11="Yes",1,0)</f>
        <v>1</v>
      </c>
      <c r="D11" s="51">
        <f>ROUNDUP(B11/Inputs!$B$59,0)</f>
        <v>3</v>
      </c>
      <c r="E11" s="46">
        <f>DEGREES(ATAN(B11/(B11/TAN(RADIANS(Inputs!$B$60))+(D11-1)*Inputs!$B$61)))</f>
        <v>47.519839305049153</v>
      </c>
      <c r="F11" s="50">
        <f t="shared" si="0"/>
        <v>0</v>
      </c>
      <c r="G11" s="50">
        <f t="shared" si="1"/>
        <v>0</v>
      </c>
      <c r="H11" s="50">
        <f t="shared" si="2"/>
        <v>1</v>
      </c>
      <c r="I11" s="50">
        <f t="shared" si="3"/>
        <v>0</v>
      </c>
      <c r="J11" s="42">
        <f>(F11+G11)*Inputs!$B$6+(H11+I11)*Inputs!$B$7</f>
        <v>100</v>
      </c>
      <c r="K11" s="46">
        <f t="shared" si="4"/>
        <v>29</v>
      </c>
      <c r="L11" s="42">
        <f t="shared" si="5"/>
        <v>38504.948350893814</v>
      </c>
    </row>
    <row r="12" spans="1:12" ht="13.5" customHeight="1" x14ac:dyDescent="0.4">
      <c r="A12" s="41" t="str">
        <f>Reserve!A12</f>
        <v>B2</v>
      </c>
      <c r="B12" s="44">
        <f>Reserve!B12+Reserve!C12</f>
        <v>33.5</v>
      </c>
      <c r="C12" s="64">
        <f>IF(Reserve!I12="Yes",1,0)</f>
        <v>1</v>
      </c>
      <c r="D12" s="51">
        <f>ROUNDUP(B12/Inputs!$B$59,0)</f>
        <v>4</v>
      </c>
      <c r="E12" s="46">
        <f>DEGREES(ATAN(B12/(B12/TAN(RADIANS(Inputs!$B$60))+(D12-1)*Inputs!$B$61)))</f>
        <v>42.787138382127374</v>
      </c>
      <c r="F12" s="50">
        <f t="shared" si="0"/>
        <v>0</v>
      </c>
      <c r="G12" s="50">
        <f t="shared" si="1"/>
        <v>0</v>
      </c>
      <c r="H12" s="50">
        <f t="shared" si="2"/>
        <v>0</v>
      </c>
      <c r="I12" s="50">
        <f t="shared" si="3"/>
        <v>0</v>
      </c>
      <c r="J12" s="42">
        <f>(F12+G12)*Inputs!$B$6+(H12+I12)*Inputs!$B$7</f>
        <v>0</v>
      </c>
      <c r="K12" s="46">
        <f t="shared" si="4"/>
        <v>0</v>
      </c>
      <c r="L12" s="42">
        <f t="shared" si="5"/>
        <v>0</v>
      </c>
    </row>
    <row r="13" spans="1:12" ht="13.5" customHeight="1" x14ac:dyDescent="0.4">
      <c r="A13" s="41" t="str">
        <f>Reserve!A13</f>
        <v>B3</v>
      </c>
      <c r="B13" s="44">
        <f>Reserve!B13+Reserve!C13</f>
        <v>39</v>
      </c>
      <c r="C13" s="64">
        <f>IF(Reserve!I13="Yes",1,0)</f>
        <v>1</v>
      </c>
      <c r="D13" s="51">
        <f>ROUNDUP(B13/Inputs!$B$59,0)</f>
        <v>4</v>
      </c>
      <c r="E13" s="46">
        <f>DEGREES(ATAN(B13/(B13/TAN(RADIANS(Inputs!$B$60))+(D13-1)*Inputs!$B$61)))</f>
        <v>45.597587183661282</v>
      </c>
      <c r="F13" s="50">
        <f t="shared" si="0"/>
        <v>0</v>
      </c>
      <c r="G13" s="50">
        <f t="shared" si="1"/>
        <v>0</v>
      </c>
      <c r="H13" s="50">
        <f t="shared" si="2"/>
        <v>0</v>
      </c>
      <c r="I13" s="50">
        <f t="shared" si="3"/>
        <v>0</v>
      </c>
      <c r="J13" s="42">
        <f>(F13+G13)*Inputs!$B$6+(H13+I13)*Inputs!$B$7</f>
        <v>0</v>
      </c>
      <c r="K13" s="46">
        <f t="shared" si="4"/>
        <v>0</v>
      </c>
      <c r="L13" s="42">
        <f t="shared" si="5"/>
        <v>0</v>
      </c>
    </row>
    <row r="14" spans="1:12" ht="13.5" customHeight="1" x14ac:dyDescent="0.4">
      <c r="A14" s="41" t="str">
        <f>Reserve!A14</f>
        <v>B4</v>
      </c>
      <c r="B14" s="44">
        <f>Reserve!B14+Reserve!C14</f>
        <v>45.5</v>
      </c>
      <c r="C14" s="64">
        <f>IF(Reserve!I14="Yes",1,0)</f>
        <v>1</v>
      </c>
      <c r="D14" s="51">
        <f>ROUNDUP(B14/Inputs!$B$59,0)</f>
        <v>5</v>
      </c>
      <c r="E14" s="46">
        <f>DEGREES(ATAN(B14/(B14/TAN(RADIANS(Inputs!$B$60))+(D14-1)*Inputs!$B$61)))</f>
        <v>43.136306355104566</v>
      </c>
      <c r="F14" s="50">
        <f t="shared" si="0"/>
        <v>0</v>
      </c>
      <c r="G14" s="50">
        <f t="shared" si="1"/>
        <v>0</v>
      </c>
      <c r="H14" s="50">
        <f t="shared" si="2"/>
        <v>0</v>
      </c>
      <c r="I14" s="50">
        <f t="shared" si="3"/>
        <v>1</v>
      </c>
      <c r="J14" s="42">
        <f>(F14+G14)*Inputs!$B$6+(H14+I14)*Inputs!$B$7</f>
        <v>100</v>
      </c>
      <c r="K14" s="46">
        <f t="shared" si="4"/>
        <v>45.5</v>
      </c>
      <c r="L14" s="42">
        <f t="shared" si="5"/>
        <v>110475.46887448028</v>
      </c>
    </row>
    <row r="15" spans="1:12" ht="13.5" customHeight="1" x14ac:dyDescent="0.4">
      <c r="A15" s="41" t="str">
        <f>Reserve!A15</f>
        <v>B5</v>
      </c>
      <c r="B15" s="44">
        <f>Reserve!B15+Reserve!C15</f>
        <v>53.5</v>
      </c>
      <c r="C15" s="64">
        <f>IF(Reserve!I15="Yes",1,0)</f>
        <v>0</v>
      </c>
      <c r="D15" s="51">
        <f>ROUNDUP(B15/Inputs!$B$59,0)</f>
        <v>6</v>
      </c>
      <c r="E15" s="46">
        <f>DEGREES(ATAN(B15/(B15/TAN(RADIANS(Inputs!$B$60))+(D15-1)*Inputs!$B$61)))</f>
        <v>41.973814261378472</v>
      </c>
      <c r="F15" s="50">
        <f t="shared" si="0"/>
        <v>0</v>
      </c>
      <c r="G15" s="50">
        <f t="shared" si="1"/>
        <v>0</v>
      </c>
      <c r="H15" s="50">
        <f t="shared" si="2"/>
        <v>0</v>
      </c>
      <c r="I15" s="50">
        <f t="shared" si="3"/>
        <v>0</v>
      </c>
      <c r="J15" s="42">
        <f>(F15+G15)*Inputs!$B$6+(H15+I15)*Inputs!$B$7</f>
        <v>0</v>
      </c>
      <c r="K15" s="46">
        <f t="shared" si="4"/>
        <v>0</v>
      </c>
      <c r="L15" s="42">
        <f t="shared" si="5"/>
        <v>0</v>
      </c>
    </row>
    <row r="16" spans="1:12" ht="13.5" customHeight="1" x14ac:dyDescent="0.4">
      <c r="A16" s="41" t="str">
        <f>Reserve!A16</f>
        <v>C1</v>
      </c>
      <c r="B16" s="44">
        <f>Reserve!B16+Reserve!C16</f>
        <v>28.5</v>
      </c>
      <c r="C16" s="64">
        <f>IF(Reserve!I16="Yes",1,0)</f>
        <v>1</v>
      </c>
      <c r="D16" s="51">
        <f>ROUNDUP(B16/Inputs!$B$59,0)</f>
        <v>3</v>
      </c>
      <c r="E16" s="46">
        <f>DEGREES(ATAN(B16/(B16/TAN(RADIANS(Inputs!$B$60))+(D16-1)*Inputs!$B$61)))</f>
        <v>47.219636765178514</v>
      </c>
      <c r="F16" s="50">
        <f t="shared" si="0"/>
        <v>0</v>
      </c>
      <c r="G16" s="50">
        <f t="shared" si="1"/>
        <v>0</v>
      </c>
      <c r="H16" s="50">
        <f t="shared" si="2"/>
        <v>1</v>
      </c>
      <c r="I16" s="50">
        <f t="shared" si="3"/>
        <v>0</v>
      </c>
      <c r="J16" s="42">
        <f>(F16+G16)*Inputs!$B$6+(H16+I16)*Inputs!$B$7</f>
        <v>100</v>
      </c>
      <c r="K16" s="46">
        <f t="shared" si="4"/>
        <v>28.5</v>
      </c>
      <c r="L16" s="42">
        <f t="shared" si="5"/>
        <v>37581.741139136146</v>
      </c>
    </row>
    <row r="17" spans="1:12" ht="13.5" customHeight="1" x14ac:dyDescent="0.4">
      <c r="A17" s="41" t="str">
        <f>Reserve!A17</f>
        <v>C2</v>
      </c>
      <c r="B17" s="44">
        <f>Reserve!B17+Reserve!C17</f>
        <v>33</v>
      </c>
      <c r="C17" s="64">
        <f>IF(Reserve!I17="Yes",1,0)</f>
        <v>1</v>
      </c>
      <c r="D17" s="51">
        <f>ROUNDUP(B17/Inputs!$B$59,0)</f>
        <v>4</v>
      </c>
      <c r="E17" s="46">
        <f>DEGREES(ATAN(B17/(B17/TAN(RADIANS(Inputs!$B$60))+(D17-1)*Inputs!$B$61)))</f>
        <v>42.501713984250877</v>
      </c>
      <c r="F17" s="50">
        <f t="shared" si="0"/>
        <v>0</v>
      </c>
      <c r="G17" s="50">
        <f t="shared" si="1"/>
        <v>0</v>
      </c>
      <c r="H17" s="50">
        <f t="shared" si="2"/>
        <v>0</v>
      </c>
      <c r="I17" s="50">
        <f t="shared" si="3"/>
        <v>0</v>
      </c>
      <c r="J17" s="42">
        <f>(F17+G17)*Inputs!$B$6+(H17+I17)*Inputs!$B$7</f>
        <v>0</v>
      </c>
      <c r="K17" s="46">
        <f t="shared" si="4"/>
        <v>0</v>
      </c>
      <c r="L17" s="42">
        <f t="shared" si="5"/>
        <v>0</v>
      </c>
    </row>
    <row r="18" spans="1:12" ht="13.5" customHeight="1" x14ac:dyDescent="0.4">
      <c r="A18" s="41" t="str">
        <f>Reserve!A18</f>
        <v>C3</v>
      </c>
      <c r="B18" s="44">
        <f>Reserve!B18+Reserve!C18</f>
        <v>38.5</v>
      </c>
      <c r="C18" s="64">
        <f>IF(Reserve!I18="Yes",1,0)</f>
        <v>1</v>
      </c>
      <c r="D18" s="51">
        <f>ROUNDUP(B18/Inputs!$B$59,0)</f>
        <v>4</v>
      </c>
      <c r="E18" s="46">
        <f>DEGREES(ATAN(B18/(B18/TAN(RADIANS(Inputs!$B$60))+(D18-1)*Inputs!$B$61)))</f>
        <v>45.364788791692121</v>
      </c>
      <c r="F18" s="50">
        <f t="shared" si="0"/>
        <v>0</v>
      </c>
      <c r="G18" s="50">
        <f t="shared" si="1"/>
        <v>0</v>
      </c>
      <c r="H18" s="50">
        <f t="shared" si="2"/>
        <v>0</v>
      </c>
      <c r="I18" s="50">
        <f t="shared" si="3"/>
        <v>0</v>
      </c>
      <c r="J18" s="42">
        <f>(F18+G18)*Inputs!$B$6+(H18+I18)*Inputs!$B$7</f>
        <v>0</v>
      </c>
      <c r="K18" s="46">
        <f t="shared" si="4"/>
        <v>0</v>
      </c>
      <c r="L18" s="42">
        <f t="shared" si="5"/>
        <v>0</v>
      </c>
    </row>
    <row r="19" spans="1:12" ht="13.5" customHeight="1" x14ac:dyDescent="0.4">
      <c r="A19" s="41" t="str">
        <f>Reserve!A19</f>
        <v>C4</v>
      </c>
      <c r="B19" s="44">
        <f>Reserve!B19+Reserve!C19</f>
        <v>45</v>
      </c>
      <c r="C19" s="64">
        <f>IF(Reserve!I19="Yes",1,0)</f>
        <v>1</v>
      </c>
      <c r="D19" s="51">
        <f>ROUNDUP(B19/Inputs!$B$59,0)</f>
        <v>5</v>
      </c>
      <c r="E19" s="46">
        <f>DEGREES(ATAN(B19/(B19/TAN(RADIANS(Inputs!$B$60))+(D19-1)*Inputs!$B$61)))</f>
        <v>42.927807302197877</v>
      </c>
      <c r="F19" s="50">
        <f t="shared" si="0"/>
        <v>0</v>
      </c>
      <c r="G19" s="50">
        <f t="shared" si="1"/>
        <v>0</v>
      </c>
      <c r="H19" s="50">
        <f t="shared" si="2"/>
        <v>0</v>
      </c>
      <c r="I19" s="50">
        <f t="shared" si="3"/>
        <v>1</v>
      </c>
      <c r="J19" s="42">
        <f>(F19+G19)*Inputs!$B$6+(H19+I19)*Inputs!$B$7</f>
        <v>100</v>
      </c>
      <c r="K19" s="46">
        <f t="shared" si="4"/>
        <v>45</v>
      </c>
      <c r="L19" s="42">
        <f t="shared" si="5"/>
        <v>108851.986219453</v>
      </c>
    </row>
    <row r="20" spans="1:12" ht="13.5" customHeight="1" x14ac:dyDescent="0.4">
      <c r="A20" s="41" t="str">
        <f>Reserve!A20</f>
        <v>C5</v>
      </c>
      <c r="B20" s="44">
        <f>Reserve!B20+Reserve!C20</f>
        <v>51</v>
      </c>
      <c r="C20" s="64">
        <f>IF(Reserve!I20="Yes",1,0)</f>
        <v>0</v>
      </c>
      <c r="D20" s="51">
        <f>ROUNDUP(B20/Inputs!$B$59,0)</f>
        <v>6</v>
      </c>
      <c r="E20" s="46">
        <f>DEGREES(ATAN(B20/(B20/TAN(RADIANS(Inputs!$B$60))+(D20-1)*Inputs!$B$61)))</f>
        <v>41.051457390868165</v>
      </c>
      <c r="F20" s="50">
        <f t="shared" si="0"/>
        <v>0</v>
      </c>
      <c r="G20" s="50">
        <f t="shared" si="1"/>
        <v>0</v>
      </c>
      <c r="H20" s="50">
        <f t="shared" si="2"/>
        <v>0</v>
      </c>
      <c r="I20" s="50">
        <f t="shared" si="3"/>
        <v>0</v>
      </c>
      <c r="J20" s="42">
        <f>(F20+G20)*Inputs!$B$6+(H20+I20)*Inputs!$B$7</f>
        <v>0</v>
      </c>
      <c r="K20" s="46">
        <f t="shared" si="4"/>
        <v>0</v>
      </c>
      <c r="L20" s="42">
        <f t="shared" si="5"/>
        <v>0</v>
      </c>
    </row>
    <row r="21" spans="1:12" ht="13.5" customHeight="1" x14ac:dyDescent="0.4">
      <c r="A21" s="41" t="str">
        <f>Reserve!A21</f>
        <v>D1</v>
      </c>
      <c r="B21" s="44">
        <f>Reserve!B21+Reserve!C21</f>
        <v>26</v>
      </c>
      <c r="C21" s="64">
        <f>IF(Reserve!I21="Yes",1,0)</f>
        <v>1</v>
      </c>
      <c r="D21" s="51">
        <f>ROUNDUP(B21/Inputs!$B$59,0)</f>
        <v>3</v>
      </c>
      <c r="E21" s="46">
        <f>DEGREES(ATAN(B21/(B21/TAN(RADIANS(Inputs!$B$60))+(D21-1)*Inputs!$B$61)))</f>
        <v>45.597587183661282</v>
      </c>
      <c r="F21" s="50">
        <f t="shared" si="0"/>
        <v>0</v>
      </c>
      <c r="G21" s="50">
        <f t="shared" si="1"/>
        <v>1</v>
      </c>
      <c r="H21" s="50">
        <f t="shared" si="2"/>
        <v>1</v>
      </c>
      <c r="I21" s="50">
        <f t="shared" si="3"/>
        <v>0</v>
      </c>
      <c r="J21" s="42">
        <f>(F21+G21)*Inputs!$B$6+(H21+I21)*Inputs!$B$7</f>
        <v>200</v>
      </c>
      <c r="K21" s="46">
        <f t="shared" si="4"/>
        <v>26</v>
      </c>
      <c r="L21" s="42">
        <f t="shared" si="5"/>
        <v>66204.387836395283</v>
      </c>
    </row>
    <row r="22" spans="1:12" ht="13.5" customHeight="1" x14ac:dyDescent="0.4">
      <c r="A22" s="41" t="str">
        <f>Reserve!A22</f>
        <v>D2</v>
      </c>
      <c r="B22" s="44">
        <f>Reserve!B22+Reserve!C22</f>
        <v>30.5</v>
      </c>
      <c r="C22" s="64">
        <f>IF(Reserve!I22="Yes",1,0)</f>
        <v>1</v>
      </c>
      <c r="D22" s="51">
        <f>ROUNDUP(B22/Inputs!$B$59,0)</f>
        <v>4</v>
      </c>
      <c r="E22" s="46">
        <f>DEGREES(ATAN(B22/(B22/TAN(RADIANS(Inputs!$B$60))+(D22-1)*Inputs!$B$61)))</f>
        <v>40.987991251661526</v>
      </c>
      <c r="F22" s="50">
        <f t="shared" si="0"/>
        <v>0</v>
      </c>
      <c r="G22" s="50">
        <f t="shared" si="1"/>
        <v>1</v>
      </c>
      <c r="H22" s="50">
        <f t="shared" si="2"/>
        <v>0</v>
      </c>
      <c r="I22" s="50">
        <f t="shared" si="3"/>
        <v>0</v>
      </c>
      <c r="J22" s="42">
        <f>(F22+G22)*Inputs!$B$6+(H22+I22)*Inputs!$B$7</f>
        <v>100</v>
      </c>
      <c r="K22" s="46">
        <f t="shared" si="4"/>
        <v>30.5</v>
      </c>
      <c r="L22" s="42">
        <f t="shared" si="5"/>
        <v>53529.165521306742</v>
      </c>
    </row>
    <row r="23" spans="1:12" ht="13.5" customHeight="1" x14ac:dyDescent="0.4">
      <c r="A23" s="41" t="str">
        <f>Reserve!A23</f>
        <v>D3</v>
      </c>
      <c r="B23" s="44">
        <f>Reserve!B23+Reserve!C23</f>
        <v>36</v>
      </c>
      <c r="C23" s="64">
        <f>IF(Reserve!I23="Yes",1,0)</f>
        <v>1</v>
      </c>
      <c r="D23" s="51">
        <f>ROUNDUP(B23/Inputs!$B$59,0)</f>
        <v>4</v>
      </c>
      <c r="E23" s="46">
        <f>DEGREES(ATAN(B23/(B23/TAN(RADIANS(Inputs!$B$60))+(D23-1)*Inputs!$B$61)))</f>
        <v>44.13562491241796</v>
      </c>
      <c r="F23" s="50">
        <f t="shared" si="0"/>
        <v>0</v>
      </c>
      <c r="G23" s="50">
        <f t="shared" si="1"/>
        <v>1</v>
      </c>
      <c r="H23" s="50">
        <f t="shared" si="2"/>
        <v>0</v>
      </c>
      <c r="I23" s="50">
        <f t="shared" si="3"/>
        <v>0</v>
      </c>
      <c r="J23" s="42">
        <f>(F23+G23)*Inputs!$B$6+(H23+I23)*Inputs!$B$7</f>
        <v>100</v>
      </c>
      <c r="K23" s="46">
        <f t="shared" si="4"/>
        <v>36</v>
      </c>
      <c r="L23" s="42">
        <f t="shared" si="5"/>
        <v>66785.271180449927</v>
      </c>
    </row>
    <row r="24" spans="1:12" ht="13.5" customHeight="1" x14ac:dyDescent="0.4">
      <c r="A24" s="41" t="str">
        <f>Reserve!A24</f>
        <v>D4</v>
      </c>
      <c r="B24" s="44">
        <f>Reserve!B24+Reserve!C24</f>
        <v>42</v>
      </c>
      <c r="C24" s="64">
        <f>IF(Reserve!I24="Yes",1,0)</f>
        <v>1</v>
      </c>
      <c r="D24" s="51">
        <f>ROUNDUP(B24/Inputs!$B$59,0)</f>
        <v>5</v>
      </c>
      <c r="E24" s="46">
        <f>DEGREES(ATAN(B24/(B24/TAN(RADIANS(Inputs!$B$60))+(D24-1)*Inputs!$B$61)))</f>
        <v>41.611421019296735</v>
      </c>
      <c r="F24" s="50">
        <f t="shared" si="0"/>
        <v>0</v>
      </c>
      <c r="G24" s="50">
        <f t="shared" si="1"/>
        <v>1</v>
      </c>
      <c r="H24" s="50">
        <f t="shared" si="2"/>
        <v>0</v>
      </c>
      <c r="I24" s="50">
        <f t="shared" si="3"/>
        <v>1</v>
      </c>
      <c r="J24" s="42">
        <f>(F24+G24)*Inputs!$B$6+(H24+I24)*Inputs!$B$7</f>
        <v>200</v>
      </c>
      <c r="K24" s="46">
        <f t="shared" si="4"/>
        <v>42</v>
      </c>
      <c r="L24" s="42">
        <f t="shared" si="5"/>
        <v>198604.34932455813</v>
      </c>
    </row>
    <row r="25" spans="1:12" ht="13.5" customHeight="1" x14ac:dyDescent="0.4">
      <c r="A25" s="41" t="str">
        <f>Reserve!A25</f>
        <v>D5</v>
      </c>
      <c r="B25" s="44">
        <f>Reserve!B25+Reserve!C25</f>
        <v>49</v>
      </c>
      <c r="C25" s="64">
        <f>IF(Reserve!I25="Yes",1,0)</f>
        <v>0</v>
      </c>
      <c r="D25" s="51">
        <f>ROUNDUP(B25/Inputs!$B$59,0)</f>
        <v>5</v>
      </c>
      <c r="E25" s="46">
        <f>DEGREES(ATAN(B25/(B25/TAN(RADIANS(Inputs!$B$60))+(D25-1)*Inputs!$B$61)))</f>
        <v>44.516216015977463</v>
      </c>
      <c r="F25" s="50">
        <f t="shared" si="0"/>
        <v>0</v>
      </c>
      <c r="G25" s="50">
        <f t="shared" si="1"/>
        <v>0</v>
      </c>
      <c r="H25" s="50">
        <f t="shared" si="2"/>
        <v>0</v>
      </c>
      <c r="I25" s="50">
        <f t="shared" si="3"/>
        <v>0</v>
      </c>
      <c r="J25" s="42">
        <f>(F25+G25)*Inputs!$B$6+(H25+I25)*Inputs!$B$7</f>
        <v>0</v>
      </c>
      <c r="K25" s="46">
        <f t="shared" si="4"/>
        <v>0</v>
      </c>
      <c r="L25" s="42">
        <f t="shared" si="5"/>
        <v>0</v>
      </c>
    </row>
    <row r="26" spans="1:12" x14ac:dyDescent="0.4">
      <c r="A26" s="53" t="s">
        <v>437</v>
      </c>
      <c r="B26" s="54"/>
      <c r="C26" s="65">
        <f>SUM(C6:C25)</f>
        <v>16</v>
      </c>
      <c r="D26" s="54"/>
      <c r="E26" s="54"/>
      <c r="F26" s="54"/>
      <c r="G26" s="54"/>
      <c r="H26" s="54"/>
      <c r="I26" s="54"/>
      <c r="J26" s="66">
        <f>SUM(J6:J25)</f>
        <v>1600</v>
      </c>
      <c r="K26" s="67">
        <f>MAX(K6:K25)</f>
        <v>45.5</v>
      </c>
      <c r="L26" s="66">
        <f>SUM(L6:L25)</f>
        <v>1076128.9614503868</v>
      </c>
    </row>
    <row r="27" spans="1:12" x14ac:dyDescent="0.4">
      <c r="A27" s="9" t="s">
        <v>438</v>
      </c>
    </row>
    <row r="29" spans="1:12" x14ac:dyDescent="0.4">
      <c r="A29" s="40" t="s">
        <v>439</v>
      </c>
      <c r="B29" s="40"/>
      <c r="C29" s="40"/>
      <c r="D29" s="40"/>
    </row>
    <row r="30" spans="1:12" ht="30" customHeight="1" x14ac:dyDescent="0.4">
      <c r="A30" s="10" t="s">
        <v>372</v>
      </c>
      <c r="B30" s="10" t="s">
        <v>49</v>
      </c>
      <c r="C30" s="10" t="s">
        <v>50</v>
      </c>
      <c r="D30" s="10" t="s">
        <v>373</v>
      </c>
    </row>
    <row r="31" spans="1:12" ht="13.5" customHeight="1" x14ac:dyDescent="0.4">
      <c r="A31" s="47" t="s">
        <v>440</v>
      </c>
      <c r="B31" s="58">
        <f>Reserve!B37</f>
        <v>4320000</v>
      </c>
      <c r="C31" s="57" t="s">
        <v>330</v>
      </c>
      <c r="D31" s="57" t="s">
        <v>441</v>
      </c>
    </row>
    <row r="32" spans="1:12" ht="13.5" customHeight="1" x14ac:dyDescent="0.4">
      <c r="A32" s="47" t="s">
        <v>442</v>
      </c>
      <c r="B32" s="42">
        <f>L26</f>
        <v>1076128.9614503868</v>
      </c>
      <c r="C32" s="57" t="s">
        <v>330</v>
      </c>
      <c r="D32" s="57" t="s">
        <v>443</v>
      </c>
    </row>
    <row r="33" spans="1:4" ht="13.5" customHeight="1" x14ac:dyDescent="0.4">
      <c r="A33" s="47" t="s">
        <v>444</v>
      </c>
      <c r="B33" s="68">
        <f>Inputs!$B$46</f>
        <v>1</v>
      </c>
      <c r="C33" s="57" t="s">
        <v>445</v>
      </c>
      <c r="D33" s="57" t="s">
        <v>446</v>
      </c>
    </row>
    <row r="34" spans="1:4" ht="13.5" customHeight="1" x14ac:dyDescent="0.4">
      <c r="A34" s="47" t="s">
        <v>447</v>
      </c>
      <c r="B34" s="42">
        <f>B31+B33*B32</f>
        <v>5396128.9614503868</v>
      </c>
      <c r="C34" s="57" t="s">
        <v>330</v>
      </c>
      <c r="D34" s="57"/>
    </row>
    <row r="35" spans="1:4" ht="13.5" customHeight="1" x14ac:dyDescent="0.4">
      <c r="A35" s="47" t="s">
        <v>327</v>
      </c>
      <c r="B35" s="58">
        <f>Reserve!B36</f>
        <v>1841000</v>
      </c>
      <c r="C35" s="57" t="s">
        <v>89</v>
      </c>
      <c r="D35" s="57"/>
    </row>
    <row r="36" spans="1:4" ht="13.5" customHeight="1" x14ac:dyDescent="0.4">
      <c r="A36" s="47" t="s">
        <v>448</v>
      </c>
      <c r="B36" s="45">
        <f>IFERROR(B31/B35,0)</f>
        <v>2.3465507876154263</v>
      </c>
      <c r="C36" s="57" t="s">
        <v>318</v>
      </c>
      <c r="D36" s="57" t="s">
        <v>449</v>
      </c>
    </row>
    <row r="37" spans="1:4" ht="13.5" customHeight="1" x14ac:dyDescent="0.4">
      <c r="A37" s="47" t="s">
        <v>450</v>
      </c>
      <c r="B37" s="61">
        <f>IFERROR(B34/B35,0)</f>
        <v>2.9310858019828281</v>
      </c>
      <c r="C37" s="57" t="s">
        <v>318</v>
      </c>
      <c r="D37" s="57" t="s">
        <v>451</v>
      </c>
    </row>
    <row r="38" spans="1:4" ht="13.5" customHeight="1" x14ac:dyDescent="0.4">
      <c r="A38" s="47" t="s">
        <v>452</v>
      </c>
      <c r="B38" s="62">
        <f>IFERROR(B37/B36-1,0)</f>
        <v>0.24910392626166367</v>
      </c>
      <c r="C38" s="57" t="s">
        <v>192</v>
      </c>
      <c r="D38" s="57"/>
    </row>
    <row r="40" spans="1:4" x14ac:dyDescent="0.4">
      <c r="A40" s="40" t="s">
        <v>453</v>
      </c>
      <c r="B40" s="40"/>
      <c r="C40" s="40"/>
      <c r="D40" s="40"/>
    </row>
    <row r="41" spans="1:4" ht="30" customHeight="1" x14ac:dyDescent="0.4">
      <c r="A41" s="10" t="s">
        <v>372</v>
      </c>
      <c r="B41" s="10" t="s">
        <v>49</v>
      </c>
      <c r="C41" s="10" t="s">
        <v>50</v>
      </c>
      <c r="D41" s="10" t="s">
        <v>373</v>
      </c>
    </row>
    <row r="42" spans="1:4" ht="13.5" customHeight="1" x14ac:dyDescent="0.4">
      <c r="A42" s="47" t="s">
        <v>454</v>
      </c>
      <c r="B42" s="46">
        <f>K26</f>
        <v>45.5</v>
      </c>
      <c r="C42" s="57" t="s">
        <v>54</v>
      </c>
      <c r="D42" s="57" t="s">
        <v>455</v>
      </c>
    </row>
    <row r="43" spans="1:4" ht="13.5" customHeight="1" x14ac:dyDescent="0.4">
      <c r="A43" s="47" t="s">
        <v>456</v>
      </c>
      <c r="B43" s="46">
        <f>IFERROR(INDEX(E6:E25,MATCH(K26,K6:K25,0)),0)</f>
        <v>43.136306355104566</v>
      </c>
      <c r="C43" s="57" t="s">
        <v>177</v>
      </c>
      <c r="D43" s="57" t="s">
        <v>457</v>
      </c>
    </row>
    <row r="44" spans="1:4" ht="13.5" customHeight="1" x14ac:dyDescent="0.4">
      <c r="A44" s="47" t="s">
        <v>458</v>
      </c>
      <c r="B44" s="45">
        <f>Inputs!$B$9*9.81</f>
        <v>21.582000000000004</v>
      </c>
      <c r="C44" s="57" t="s">
        <v>459</v>
      </c>
      <c r="D44" s="57" t="s">
        <v>460</v>
      </c>
    </row>
    <row r="45" spans="1:4" ht="13.5" customHeight="1" x14ac:dyDescent="0.4">
      <c r="A45" s="47" t="s">
        <v>461</v>
      </c>
      <c r="B45" s="68">
        <f>Inputs!$B$62</f>
        <v>30</v>
      </c>
      <c r="C45" s="57" t="s">
        <v>182</v>
      </c>
      <c r="D45" s="57"/>
    </row>
    <row r="46" spans="1:4" ht="13.5" customHeight="1" x14ac:dyDescent="0.4">
      <c r="A46" s="47" t="s">
        <v>462</v>
      </c>
      <c r="B46" s="68">
        <f>Inputs!$B$63</f>
        <v>30</v>
      </c>
      <c r="C46" s="57" t="s">
        <v>177</v>
      </c>
      <c r="D46" s="57"/>
    </row>
    <row r="47" spans="1:4" ht="13.5" customHeight="1" x14ac:dyDescent="0.4">
      <c r="A47" s="47" t="s">
        <v>463</v>
      </c>
      <c r="B47" s="68">
        <f>Inputs!$B$64</f>
        <v>35</v>
      </c>
      <c r="C47" s="57" t="s">
        <v>177</v>
      </c>
      <c r="D47" s="57" t="s">
        <v>464</v>
      </c>
    </row>
    <row r="48" spans="1:4" ht="13.5" customHeight="1" x14ac:dyDescent="0.4">
      <c r="A48" s="47" t="s">
        <v>465</v>
      </c>
      <c r="B48" s="42">
        <f>IF(AND(B42&gt;0,B47&lt;B43),0.5*B44*B42^2*(1/TAN(RADIANS(B47))-1/TAN(RADIANS(B43))),0)</f>
        <v>8062.1075351559639</v>
      </c>
      <c r="C48" s="57" t="s">
        <v>466</v>
      </c>
      <c r="D48" s="57" t="s">
        <v>467</v>
      </c>
    </row>
    <row r="49" spans="1:5" ht="13.5" customHeight="1" x14ac:dyDescent="0.4">
      <c r="A49" s="47" t="s">
        <v>468</v>
      </c>
      <c r="B49" s="46">
        <f>IF(B42&gt;0,B42/SIN(RADIANS(B47)),0)</f>
        <v>79.32682920075996</v>
      </c>
      <c r="C49" s="57" t="s">
        <v>469</v>
      </c>
      <c r="D49" s="57" t="s">
        <v>470</v>
      </c>
    </row>
    <row r="50" spans="1:5" ht="13.5" customHeight="1" x14ac:dyDescent="0.4">
      <c r="A50" s="47" t="s">
        <v>471</v>
      </c>
      <c r="B50" s="42">
        <f>B45*B49+B48*COS(RADIANS(B47))*TAN(RADIANS(B46))</f>
        <v>6192.679094170162</v>
      </c>
      <c r="C50" s="57" t="s">
        <v>466</v>
      </c>
      <c r="D50" s="57" t="s">
        <v>472</v>
      </c>
    </row>
    <row r="51" spans="1:5" ht="13.5" customHeight="1" x14ac:dyDescent="0.4">
      <c r="A51" s="47" t="s">
        <v>473</v>
      </c>
      <c r="B51" s="42">
        <f>B48*SIN(RADIANS(B47))</f>
        <v>4624.2349094936735</v>
      </c>
      <c r="C51" s="57" t="s">
        <v>466</v>
      </c>
      <c r="D51" s="57" t="s">
        <v>474</v>
      </c>
    </row>
    <row r="52" spans="1:5" ht="13.5" customHeight="1" x14ac:dyDescent="0.4">
      <c r="A52" s="47" t="s">
        <v>475</v>
      </c>
      <c r="B52" s="61">
        <f>IF(B51&gt;0,B50/B51,"No daylight")</f>
        <v>1.3391791756635096</v>
      </c>
      <c r="C52" s="57" t="s">
        <v>189</v>
      </c>
      <c r="D52" s="57" t="s">
        <v>476</v>
      </c>
    </row>
    <row r="53" spans="1:5" ht="13.5" customHeight="1" x14ac:dyDescent="0.4">
      <c r="A53" s="47" t="s">
        <v>188</v>
      </c>
      <c r="B53" s="43">
        <f>Inputs!$B$65</f>
        <v>1.3</v>
      </c>
      <c r="C53" s="57" t="s">
        <v>189</v>
      </c>
      <c r="D53" s="57"/>
    </row>
    <row r="54" spans="1:5" ht="13.5" customHeight="1" x14ac:dyDescent="0.4">
      <c r="A54" s="47" t="s">
        <v>477</v>
      </c>
      <c r="B54" s="69" t="str">
        <f>IF(ISNUMBER(B52),IF(B52&gt;=B53,"Meets target","Below target"),"Stable")</f>
        <v>Meets target</v>
      </c>
      <c r="C54" s="57"/>
      <c r="D54" s="57" t="s">
        <v>478</v>
      </c>
    </row>
    <row r="56" spans="1:5" x14ac:dyDescent="0.4">
      <c r="A56" s="40" t="s">
        <v>479</v>
      </c>
      <c r="B56" s="40"/>
      <c r="C56" s="40"/>
      <c r="D56" s="40"/>
      <c r="E56" s="40"/>
    </row>
    <row r="57" spans="1:5" ht="42" customHeight="1" x14ac:dyDescent="0.4">
      <c r="A57" s="10" t="s">
        <v>480</v>
      </c>
      <c r="B57" s="10" t="s">
        <v>481</v>
      </c>
      <c r="C57" s="10" t="s">
        <v>482</v>
      </c>
      <c r="D57" s="10" t="s">
        <v>483</v>
      </c>
      <c r="E57" s="10" t="s">
        <v>484</v>
      </c>
    </row>
    <row r="58" spans="1:5" x14ac:dyDescent="0.4">
      <c r="A58" s="70">
        <v>30</v>
      </c>
      <c r="B58" s="45" t="str">
        <f t="shared" ref="B58:B65" si="6">IF(OR($B$42=0,A58&lt;=$B$47),"Stable",($B$45*$B$49+0.5*$B$44*$B$42^2*(1/TAN(RADIANS($B$47))-1/TAN(RADIANS(A58)))*COS(RADIANS($B$47))*TAN(RADIANS($B$46)))/(0.5*$B$44*$B$42^2*(1/TAN(RADIANS($B$47))-1/TAN(RADIANS(A58)))*SIN(RADIANS($B$47))))</f>
        <v>Stable</v>
      </c>
      <c r="C58" s="71" t="str">
        <f t="shared" ref="C58:C65" si="7">IF(ISNUMBER(B58),IF(B58&gt;=$B$53,"Yes","No"),"Yes")</f>
        <v>Yes</v>
      </c>
      <c r="D58" s="50">
        <f t="shared" ref="D58:D65" si="8">IF(C58="Yes",1,0)</f>
        <v>1</v>
      </c>
      <c r="E58" s="42">
        <f t="shared" ref="E58:E65" si="9">IF($B$42=0,0,0.5*$B$42^2/TAN(RADIANS(A58)))</f>
        <v>1792.8890921847342</v>
      </c>
    </row>
    <row r="59" spans="1:5" x14ac:dyDescent="0.4">
      <c r="A59" s="70">
        <v>35</v>
      </c>
      <c r="B59" s="45" t="str">
        <f t="shared" si="6"/>
        <v>Stable</v>
      </c>
      <c r="C59" s="71" t="str">
        <f t="shared" si="7"/>
        <v>Yes</v>
      </c>
      <c r="D59" s="50">
        <f t="shared" si="8"/>
        <v>1</v>
      </c>
      <c r="E59" s="42">
        <f t="shared" si="9"/>
        <v>1478.3117054789313</v>
      </c>
    </row>
    <row r="60" spans="1:5" x14ac:dyDescent="0.4">
      <c r="A60" s="70">
        <v>40</v>
      </c>
      <c r="B60" s="45">
        <f t="shared" si="6"/>
        <v>1.6101902572085147</v>
      </c>
      <c r="C60" s="71" t="str">
        <f t="shared" si="7"/>
        <v>Yes</v>
      </c>
      <c r="D60" s="50">
        <f t="shared" si="8"/>
        <v>1</v>
      </c>
      <c r="E60" s="42">
        <f t="shared" si="9"/>
        <v>1233.6139375340817</v>
      </c>
    </row>
    <row r="61" spans="1:5" x14ac:dyDescent="0.4">
      <c r="A61" s="70">
        <v>45</v>
      </c>
      <c r="B61" s="45">
        <f t="shared" si="6"/>
        <v>1.2583237455462544</v>
      </c>
      <c r="C61" s="71" t="str">
        <f t="shared" si="7"/>
        <v>No</v>
      </c>
      <c r="D61" s="50">
        <f t="shared" si="8"/>
        <v>0</v>
      </c>
      <c r="E61" s="42">
        <f t="shared" si="9"/>
        <v>1035.1250000000002</v>
      </c>
    </row>
    <row r="62" spans="1:5" x14ac:dyDescent="0.4">
      <c r="A62" s="70">
        <v>50</v>
      </c>
      <c r="B62" s="45">
        <f t="shared" si="6"/>
        <v>1.1398348331101382</v>
      </c>
      <c r="C62" s="71" t="str">
        <f t="shared" si="7"/>
        <v>No</v>
      </c>
      <c r="D62" s="50">
        <f t="shared" si="8"/>
        <v>0</v>
      </c>
      <c r="E62" s="42">
        <f t="shared" si="9"/>
        <v>868.57300572238194</v>
      </c>
    </row>
    <row r="63" spans="1:5" x14ac:dyDescent="0.4">
      <c r="A63" s="70">
        <v>55</v>
      </c>
      <c r="B63" s="45">
        <f t="shared" si="6"/>
        <v>1.0796764356596225</v>
      </c>
      <c r="C63" s="71" t="str">
        <f t="shared" si="7"/>
        <v>No</v>
      </c>
      <c r="D63" s="50">
        <f t="shared" si="8"/>
        <v>0</v>
      </c>
      <c r="E63" s="42">
        <f t="shared" si="9"/>
        <v>724.80232798932593</v>
      </c>
    </row>
    <row r="64" spans="1:5" x14ac:dyDescent="0.4">
      <c r="A64" s="70">
        <v>60</v>
      </c>
      <c r="B64" s="45">
        <f t="shared" si="6"/>
        <v>1.0428343481480473</v>
      </c>
      <c r="C64" s="71" t="str">
        <f t="shared" si="7"/>
        <v>No</v>
      </c>
      <c r="D64" s="50">
        <f t="shared" si="8"/>
        <v>0</v>
      </c>
      <c r="E64" s="42">
        <f t="shared" si="9"/>
        <v>597.62969739491155</v>
      </c>
    </row>
    <row r="65" spans="1:5" x14ac:dyDescent="0.4">
      <c r="A65" s="70">
        <v>65</v>
      </c>
      <c r="B65" s="45">
        <f t="shared" si="6"/>
        <v>1.0176328760457962</v>
      </c>
      <c r="C65" s="71" t="str">
        <f t="shared" si="7"/>
        <v>No</v>
      </c>
      <c r="D65" s="50">
        <f t="shared" si="8"/>
        <v>0</v>
      </c>
      <c r="E65" s="42">
        <f t="shared" si="9"/>
        <v>482.6867146476929</v>
      </c>
    </row>
    <row r="66" spans="1:5" ht="13.5" customHeight="1" x14ac:dyDescent="0.4">
      <c r="A66" s="47" t="s">
        <v>485</v>
      </c>
      <c r="B66" s="72">
        <f>SUMPRODUCT(MAX(D58:D65*A58:A65))</f>
        <v>40</v>
      </c>
      <c r="C66" s="57" t="s">
        <v>177</v>
      </c>
      <c r="D66" s="57" t="s">
        <v>486</v>
      </c>
    </row>
    <row r="67" spans="1:5" ht="13.5" customHeight="1" x14ac:dyDescent="0.4">
      <c r="A67" s="47" t="s">
        <v>487</v>
      </c>
      <c r="B67" s="46">
        <f>B43</f>
        <v>43.136306355104566</v>
      </c>
      <c r="C67" s="57" t="s">
        <v>177</v>
      </c>
      <c r="D67" s="57" t="s">
        <v>488</v>
      </c>
    </row>
    <row r="69" spans="1:5" x14ac:dyDescent="0.4">
      <c r="A69" s="40" t="s">
        <v>489</v>
      </c>
      <c r="B69" s="40"/>
      <c r="C69" s="40"/>
      <c r="D69" s="40"/>
    </row>
    <row r="70" spans="1:5" ht="30" customHeight="1" x14ac:dyDescent="0.4">
      <c r="A70" s="10" t="s">
        <v>372</v>
      </c>
      <c r="B70" s="10" t="s">
        <v>49</v>
      </c>
      <c r="C70" s="10" t="s">
        <v>50</v>
      </c>
      <c r="D70" s="10" t="s">
        <v>373</v>
      </c>
    </row>
    <row r="71" spans="1:5" ht="13.5" customHeight="1" x14ac:dyDescent="0.4">
      <c r="A71" s="47" t="s">
        <v>490</v>
      </c>
      <c r="B71" s="44">
        <f>Inputs!$B$66</f>
        <v>8</v>
      </c>
      <c r="C71" s="57" t="s">
        <v>192</v>
      </c>
      <c r="D71" s="57"/>
    </row>
    <row r="72" spans="1:5" ht="13.5" customHeight="1" x14ac:dyDescent="0.4">
      <c r="A72" s="47" t="s">
        <v>491</v>
      </c>
      <c r="B72" s="46">
        <f>SUMPRODUCT(MAX(B6:B25*C6:C25))</f>
        <v>45.5</v>
      </c>
      <c r="C72" s="57" t="s">
        <v>54</v>
      </c>
      <c r="D72" s="57" t="s">
        <v>492</v>
      </c>
    </row>
    <row r="73" spans="1:5" ht="13.5" customHeight="1" x14ac:dyDescent="0.4">
      <c r="A73" s="47" t="s">
        <v>493</v>
      </c>
      <c r="B73" s="42">
        <f>IF(B71&gt;0,B72/(B71/100),0)</f>
        <v>568.75</v>
      </c>
      <c r="C73" s="57" t="s">
        <v>54</v>
      </c>
      <c r="D73" s="57" t="s">
        <v>494</v>
      </c>
    </row>
    <row r="74" spans="1:5" ht="13.5" customHeight="1" x14ac:dyDescent="0.4">
      <c r="A74" s="47" t="s">
        <v>495</v>
      </c>
      <c r="B74" s="46">
        <f>IF(B71&gt;0,100/B71,0)</f>
        <v>12.5</v>
      </c>
      <c r="C74" s="57"/>
      <c r="D74" s="57"/>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5"/>
  <sheetViews>
    <sheetView showGridLines="0" zoomScaleNormal="100" workbookViewId="0">
      <pane ySplit="4" topLeftCell="A5" activePane="bottomLeft" state="frozen"/>
      <selection pane="bottomLeft"/>
    </sheetView>
  </sheetViews>
  <sheetFormatPr defaultColWidth="8.69140625" defaultRowHeight="14.6" x14ac:dyDescent="0.4"/>
  <cols>
    <col min="1" max="1" width="44" customWidth="1"/>
    <col min="2" max="3" width="14" customWidth="1"/>
    <col min="4" max="4" width="12" customWidth="1"/>
    <col min="5" max="5" width="68" customWidth="1"/>
  </cols>
  <sheetData>
    <row r="1" spans="1:5" ht="17.25" customHeight="1" x14ac:dyDescent="0.4">
      <c r="A1" s="7" t="s">
        <v>496</v>
      </c>
      <c r="B1" s="8"/>
      <c r="C1" s="8"/>
      <c r="D1" s="8"/>
      <c r="E1" s="8"/>
    </row>
    <row r="2" spans="1:5" ht="15" customHeight="1" x14ac:dyDescent="0.4">
      <c r="A2" s="9" t="s">
        <v>497</v>
      </c>
      <c r="B2" s="8"/>
      <c r="C2" s="8"/>
      <c r="D2" s="8"/>
      <c r="E2" s="8"/>
    </row>
    <row r="3" spans="1:5" ht="15" customHeight="1" x14ac:dyDescent="0.4">
      <c r="A3" s="8"/>
      <c r="B3" s="8"/>
      <c r="C3" s="8"/>
      <c r="D3" s="8"/>
      <c r="E3" s="8"/>
    </row>
    <row r="4" spans="1:5" ht="30" customHeight="1" x14ac:dyDescent="0.4">
      <c r="A4" s="10" t="s">
        <v>372</v>
      </c>
      <c r="B4" s="10" t="s">
        <v>498</v>
      </c>
      <c r="C4" s="10" t="s">
        <v>499</v>
      </c>
      <c r="D4" s="10" t="s">
        <v>50</v>
      </c>
      <c r="E4" s="10" t="s">
        <v>373</v>
      </c>
    </row>
    <row r="5" spans="1:5" ht="15" customHeight="1" x14ac:dyDescent="0.4">
      <c r="A5" s="11" t="s">
        <v>500</v>
      </c>
      <c r="B5" s="12"/>
      <c r="C5" s="12"/>
      <c r="D5" s="12"/>
      <c r="E5" s="12"/>
    </row>
    <row r="6" spans="1:5" ht="13.5" customHeight="1" x14ac:dyDescent="0.4">
      <c r="A6" s="13" t="s">
        <v>501</v>
      </c>
      <c r="B6" s="73">
        <f>Inputs!$B$15</f>
        <v>1.35</v>
      </c>
      <c r="C6" s="73">
        <f>Inputs!$B$16</f>
        <v>1.3</v>
      </c>
      <c r="D6" s="15" t="s">
        <v>189</v>
      </c>
      <c r="E6" s="16" t="s">
        <v>502</v>
      </c>
    </row>
    <row r="7" spans="1:5" ht="13.5" customHeight="1" x14ac:dyDescent="0.4">
      <c r="A7" s="13" t="s">
        <v>503</v>
      </c>
      <c r="B7" s="73">
        <f>Inputs!$B$9</f>
        <v>2.2000000000000002</v>
      </c>
      <c r="C7" s="73">
        <f>Inputs!$B$8</f>
        <v>1.4</v>
      </c>
      <c r="D7" s="15" t="s">
        <v>59</v>
      </c>
      <c r="E7" s="16" t="s">
        <v>502</v>
      </c>
    </row>
    <row r="8" spans="1:5" ht="27" customHeight="1" x14ac:dyDescent="0.4">
      <c r="A8" s="13" t="s">
        <v>504</v>
      </c>
      <c r="B8" s="74">
        <f>Inputs!$B$13*Inputs!$B$14/B6</f>
        <v>2.5185185185185182</v>
      </c>
      <c r="C8" s="74">
        <f>Inputs!$B$13*Inputs!$B$14/C6</f>
        <v>2.6153846153846154</v>
      </c>
      <c r="D8" s="15" t="s">
        <v>330</v>
      </c>
      <c r="E8" s="16" t="s">
        <v>505</v>
      </c>
    </row>
    <row r="9" spans="1:5" ht="13.5" customHeight="1" x14ac:dyDescent="0.4">
      <c r="A9" s="13" t="s">
        <v>504</v>
      </c>
      <c r="B9" s="75">
        <f>B8*B7</f>
        <v>5.5407407407407403</v>
      </c>
      <c r="C9" s="75">
        <f>C8*C7</f>
        <v>3.6615384615384614</v>
      </c>
      <c r="D9" s="15" t="s">
        <v>89</v>
      </c>
      <c r="E9" s="16" t="s">
        <v>506</v>
      </c>
    </row>
    <row r="10" spans="1:5" ht="27" customHeight="1" x14ac:dyDescent="0.4">
      <c r="A10" s="13" t="s">
        <v>507</v>
      </c>
      <c r="B10" s="76">
        <f>3600/Inputs!$B$17*Inputs!$B$18/60</f>
        <v>100</v>
      </c>
      <c r="C10" s="76">
        <f>3600/Inputs!$B$17*Inputs!$B$18/60</f>
        <v>100</v>
      </c>
      <c r="D10" s="15" t="s">
        <v>508</v>
      </c>
      <c r="E10" s="16" t="s">
        <v>509</v>
      </c>
    </row>
    <row r="11" spans="1:5" ht="13.5" customHeight="1" x14ac:dyDescent="0.4">
      <c r="A11" s="13" t="s">
        <v>510</v>
      </c>
      <c r="B11" s="77">
        <f>B8*B10</f>
        <v>251.85185185185182</v>
      </c>
      <c r="C11" s="77">
        <f>C8*C10</f>
        <v>261.53846153846155</v>
      </c>
      <c r="D11" s="15" t="s">
        <v>511</v>
      </c>
      <c r="E11" s="16" t="s">
        <v>512</v>
      </c>
    </row>
    <row r="12" spans="1:5" ht="13.5" customHeight="1" x14ac:dyDescent="0.4">
      <c r="A12" s="13" t="s">
        <v>510</v>
      </c>
      <c r="B12" s="77">
        <f>B11*B7</f>
        <v>554.07407407407402</v>
      </c>
      <c r="C12" s="77">
        <f>C11*C7</f>
        <v>366.15384615384613</v>
      </c>
      <c r="D12" s="15" t="s">
        <v>513</v>
      </c>
      <c r="E12" s="16" t="s">
        <v>514</v>
      </c>
    </row>
    <row r="13" spans="1:5" ht="15" customHeight="1" x14ac:dyDescent="0.4">
      <c r="A13" s="11" t="s">
        <v>515</v>
      </c>
      <c r="B13" s="12"/>
      <c r="C13" s="12"/>
      <c r="D13" s="12"/>
      <c r="E13" s="12"/>
    </row>
    <row r="14" spans="1:5" ht="13.5" customHeight="1" x14ac:dyDescent="0.4">
      <c r="A14" s="13" t="s">
        <v>516</v>
      </c>
      <c r="B14" s="78">
        <f>Inputs!$B$21</f>
        <v>2</v>
      </c>
      <c r="C14" s="78">
        <f>Inputs!$B$22</f>
        <v>3</v>
      </c>
      <c r="D14" s="15" t="s">
        <v>517</v>
      </c>
      <c r="E14" s="16" t="s">
        <v>502</v>
      </c>
    </row>
    <row r="15" spans="1:5" ht="13.5" customHeight="1" x14ac:dyDescent="0.4">
      <c r="A15" s="13" t="s">
        <v>518</v>
      </c>
      <c r="B15" s="79">
        <f>ROUNDDOWN(Inputs!$B$20/B9,0)</f>
        <v>6</v>
      </c>
      <c r="C15" s="79">
        <f>ROUNDDOWN(Inputs!$B$20/C9,0)</f>
        <v>9</v>
      </c>
      <c r="D15" s="15" t="s">
        <v>508</v>
      </c>
      <c r="E15" s="16" t="s">
        <v>519</v>
      </c>
    </row>
    <row r="16" spans="1:5" ht="13.5" customHeight="1" x14ac:dyDescent="0.4">
      <c r="A16" s="13" t="s">
        <v>520</v>
      </c>
      <c r="B16" s="76">
        <f>B15*B9</f>
        <v>33.24444444444444</v>
      </c>
      <c r="C16" s="76">
        <f>C15*C9</f>
        <v>32.95384615384615</v>
      </c>
      <c r="D16" s="15" t="s">
        <v>89</v>
      </c>
      <c r="E16" s="16" t="s">
        <v>521</v>
      </c>
    </row>
    <row r="17" spans="1:5" ht="13.5" customHeight="1" x14ac:dyDescent="0.4">
      <c r="A17" s="13" t="s">
        <v>522</v>
      </c>
      <c r="B17" s="75">
        <f>B15*Inputs!$B$17/60</f>
        <v>3</v>
      </c>
      <c r="C17" s="75">
        <f>C15*Inputs!$B$17/60</f>
        <v>4.5</v>
      </c>
      <c r="D17" s="15" t="s">
        <v>102</v>
      </c>
      <c r="E17" s="16" t="s">
        <v>523</v>
      </c>
    </row>
    <row r="18" spans="1:5" ht="13.5" customHeight="1" x14ac:dyDescent="0.4">
      <c r="A18" s="13" t="s">
        <v>524</v>
      </c>
      <c r="B18" s="75">
        <f>B14/Inputs!$B$23*60</f>
        <v>6</v>
      </c>
      <c r="C18" s="75">
        <f>C14/Inputs!$B$23*60</f>
        <v>9</v>
      </c>
      <c r="D18" s="15" t="s">
        <v>102</v>
      </c>
      <c r="E18" s="16" t="s">
        <v>525</v>
      </c>
    </row>
    <row r="19" spans="1:5" ht="13.5" customHeight="1" x14ac:dyDescent="0.4">
      <c r="A19" s="13" t="s">
        <v>526</v>
      </c>
      <c r="B19" s="75">
        <f>B14/Inputs!$B$24*60</f>
        <v>4.2857142857142856</v>
      </c>
      <c r="C19" s="75">
        <f>C14/Inputs!$B$24*60</f>
        <v>6.4285714285714279</v>
      </c>
      <c r="D19" s="15" t="s">
        <v>102</v>
      </c>
      <c r="E19" s="16" t="s">
        <v>525</v>
      </c>
    </row>
    <row r="20" spans="1:5" ht="13.5" customHeight="1" x14ac:dyDescent="0.4">
      <c r="A20" s="13" t="s">
        <v>527</v>
      </c>
      <c r="B20" s="75">
        <f>Inputs!$B$25+Inputs!$B$26</f>
        <v>2</v>
      </c>
      <c r="C20" s="75">
        <f>Inputs!$B$25+Inputs!$B$26</f>
        <v>2</v>
      </c>
      <c r="D20" s="15" t="s">
        <v>102</v>
      </c>
      <c r="E20" s="16" t="s">
        <v>528</v>
      </c>
    </row>
    <row r="21" spans="1:5" ht="13.5" customHeight="1" x14ac:dyDescent="0.4">
      <c r="A21" s="13" t="s">
        <v>529</v>
      </c>
      <c r="B21" s="75">
        <f>B17+B18+B19+B20</f>
        <v>15.285714285714285</v>
      </c>
      <c r="C21" s="75">
        <f>C17+C18+C19+C20</f>
        <v>21.928571428571427</v>
      </c>
      <c r="D21" s="15" t="s">
        <v>102</v>
      </c>
      <c r="E21" s="16" t="s">
        <v>530</v>
      </c>
    </row>
    <row r="22" spans="1:5" ht="13.5" customHeight="1" x14ac:dyDescent="0.4">
      <c r="A22" s="13" t="s">
        <v>531</v>
      </c>
      <c r="B22" s="75">
        <f>Inputs!$B$27/B21</f>
        <v>3.2710280373831777</v>
      </c>
      <c r="C22" s="75">
        <f>Inputs!$B$27/C21</f>
        <v>2.2801302931596092</v>
      </c>
      <c r="D22" s="15" t="s">
        <v>532</v>
      </c>
      <c r="E22" s="16" t="s">
        <v>533</v>
      </c>
    </row>
    <row r="23" spans="1:5" ht="13.5" customHeight="1" x14ac:dyDescent="0.4">
      <c r="A23" s="13" t="s">
        <v>534</v>
      </c>
      <c r="B23" s="77">
        <f>B22*B16</f>
        <v>108.74350986500518</v>
      </c>
      <c r="C23" s="77">
        <f>C22*C16</f>
        <v>75.139062891505887</v>
      </c>
      <c r="D23" s="15" t="s">
        <v>513</v>
      </c>
      <c r="E23" s="16" t="s">
        <v>535</v>
      </c>
    </row>
    <row r="24" spans="1:5" ht="13.5" customHeight="1" x14ac:dyDescent="0.4">
      <c r="A24" s="13" t="s">
        <v>536</v>
      </c>
      <c r="B24" s="76">
        <f>B21/B17</f>
        <v>5.0952380952380949</v>
      </c>
      <c r="C24" s="76">
        <f>C21/C17</f>
        <v>4.8730158730158726</v>
      </c>
      <c r="D24" s="15" t="s">
        <v>537</v>
      </c>
      <c r="E24" s="16" t="s">
        <v>538</v>
      </c>
    </row>
    <row r="25" spans="1:5" ht="15" customHeight="1" x14ac:dyDescent="0.4">
      <c r="A25" s="11" t="s">
        <v>539</v>
      </c>
      <c r="B25" s="12"/>
      <c r="C25" s="12"/>
      <c r="D25" s="12"/>
      <c r="E25" s="12"/>
    </row>
    <row r="26" spans="1:5" ht="13.5" customHeight="1" x14ac:dyDescent="0.4">
      <c r="A26" s="13" t="s">
        <v>540</v>
      </c>
      <c r="B26" s="80">
        <f>Inputs!$B$29*Inputs!$B$30*Inputs!$B$31*Inputs!$B$32*Inputs!$B$33</f>
        <v>5385.6</v>
      </c>
      <c r="C26" s="81"/>
      <c r="D26" s="15" t="s">
        <v>115</v>
      </c>
      <c r="E26" s="16" t="s">
        <v>541</v>
      </c>
    </row>
    <row r="27" spans="1:5" ht="27" customHeight="1" x14ac:dyDescent="0.4">
      <c r="A27" s="13" t="s">
        <v>542</v>
      </c>
      <c r="B27" s="80">
        <f>Inputs!$B$11*Reserve!$B$38</f>
        <v>1465542.900991414</v>
      </c>
      <c r="C27" s="80">
        <f>Inputs!$B$11/Inputs!$B$8</f>
        <v>357142.85714285716</v>
      </c>
      <c r="D27" s="15" t="s">
        <v>543</v>
      </c>
      <c r="E27" s="16" t="s">
        <v>544</v>
      </c>
    </row>
    <row r="28" spans="1:5" ht="13.5" customHeight="1" x14ac:dyDescent="0.4">
      <c r="A28" s="13" t="s">
        <v>542</v>
      </c>
      <c r="B28" s="80">
        <f>B27*B7</f>
        <v>3224194.3821811108</v>
      </c>
      <c r="C28" s="80">
        <f>Inputs!$B$11</f>
        <v>500000</v>
      </c>
      <c r="D28" s="15" t="s">
        <v>545</v>
      </c>
      <c r="E28" s="16" t="s">
        <v>546</v>
      </c>
    </row>
    <row r="29" spans="1:5" ht="13.5" customHeight="1" x14ac:dyDescent="0.4">
      <c r="A29" s="13" t="s">
        <v>547</v>
      </c>
      <c r="B29" s="80">
        <f>B28/B12</f>
        <v>5819.0674009953209</v>
      </c>
      <c r="C29" s="80">
        <f>C28/C12</f>
        <v>1365.546218487395</v>
      </c>
      <c r="D29" s="15" t="s">
        <v>115</v>
      </c>
      <c r="E29" s="16" t="s">
        <v>548</v>
      </c>
    </row>
    <row r="30" spans="1:5" ht="13.5" customHeight="1" x14ac:dyDescent="0.4">
      <c r="A30" s="13" t="s">
        <v>549</v>
      </c>
      <c r="B30" s="80">
        <f>B28/B23</f>
        <v>29649.533900309492</v>
      </c>
      <c r="C30" s="80">
        <f>C28/C23</f>
        <v>6654.3283980258775</v>
      </c>
      <c r="D30" s="15" t="s">
        <v>115</v>
      </c>
      <c r="E30" s="16" t="s">
        <v>550</v>
      </c>
    </row>
    <row r="31" spans="1:5" ht="13.5" customHeight="1" x14ac:dyDescent="0.4">
      <c r="A31" s="36" t="s">
        <v>551</v>
      </c>
      <c r="B31" s="82">
        <f>ROUNDUP((B29+C29)/B26,0)</f>
        <v>2</v>
      </c>
      <c r="C31" s="81"/>
      <c r="D31" s="15" t="s">
        <v>552</v>
      </c>
      <c r="E31" s="16" t="s">
        <v>553</v>
      </c>
    </row>
    <row r="32" spans="1:5" ht="13.5" customHeight="1" x14ac:dyDescent="0.4">
      <c r="A32" s="36" t="s">
        <v>554</v>
      </c>
      <c r="B32" s="82">
        <f>ROUNDUP((B30+C30)/B26,0)</f>
        <v>7</v>
      </c>
      <c r="C32" s="81"/>
      <c r="D32" s="15" t="s">
        <v>552</v>
      </c>
      <c r="E32" s="16" t="s">
        <v>555</v>
      </c>
    </row>
    <row r="33" spans="1:5" ht="13.5" customHeight="1" x14ac:dyDescent="0.4">
      <c r="A33" s="13" t="s">
        <v>556</v>
      </c>
      <c r="B33" s="83">
        <f>(B29+C29)/(B31*B26)</f>
        <v>0.66702072373391219</v>
      </c>
      <c r="C33" s="81"/>
      <c r="D33" s="15" t="s">
        <v>192</v>
      </c>
      <c r="E33" s="16" t="s">
        <v>557</v>
      </c>
    </row>
    <row r="34" spans="1:5" ht="13.5" customHeight="1" x14ac:dyDescent="0.4">
      <c r="A34" s="13" t="s">
        <v>558</v>
      </c>
      <c r="B34" s="83">
        <f>(B30+C30)/(B32*B26)</f>
        <v>0.96298760446734588</v>
      </c>
      <c r="C34" s="81"/>
      <c r="D34" s="15" t="s">
        <v>192</v>
      </c>
      <c r="E34" s="16" t="s">
        <v>559</v>
      </c>
    </row>
    <row r="35" spans="1:5" ht="13.5" customHeight="1" x14ac:dyDescent="0.4">
      <c r="A35" s="13" t="s">
        <v>560</v>
      </c>
      <c r="B35" s="76">
        <f>B32/B31</f>
        <v>3.5</v>
      </c>
      <c r="C35" s="81"/>
      <c r="D35" s="15" t="s">
        <v>189</v>
      </c>
      <c r="E35" s="16" t="s">
        <v>561</v>
      </c>
    </row>
  </sheetData>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48"/>
  <sheetViews>
    <sheetView showGridLines="0" zoomScaleNormal="100" workbookViewId="0">
      <pane ySplit="3" topLeftCell="A4" activePane="bottomLeft" state="frozen"/>
      <selection pane="bottomLeft"/>
    </sheetView>
  </sheetViews>
  <sheetFormatPr defaultColWidth="8.69140625" defaultRowHeight="14.6" x14ac:dyDescent="0.4"/>
  <cols>
    <col min="1" max="1" width="60" customWidth="1"/>
    <col min="2" max="2" width="18" customWidth="1"/>
    <col min="3" max="3" width="16" customWidth="1"/>
    <col min="4" max="6" width="18" customWidth="1"/>
  </cols>
  <sheetData>
    <row r="1" spans="1:4" ht="17.25" customHeight="1" x14ac:dyDescent="0.4">
      <c r="A1" s="7" t="s">
        <v>562</v>
      </c>
    </row>
    <row r="2" spans="1:4" x14ac:dyDescent="0.4">
      <c r="A2" s="9" t="s">
        <v>563</v>
      </c>
    </row>
    <row r="4" spans="1:4" x14ac:dyDescent="0.4">
      <c r="A4" s="40" t="s">
        <v>564</v>
      </c>
      <c r="B4" s="40"/>
      <c r="C4" s="40"/>
      <c r="D4" s="40"/>
    </row>
    <row r="5" spans="1:4" ht="30" customHeight="1" x14ac:dyDescent="0.4">
      <c r="A5" s="10" t="s">
        <v>372</v>
      </c>
      <c r="B5" s="10" t="s">
        <v>49</v>
      </c>
      <c r="C5" s="10" t="s">
        <v>50</v>
      </c>
      <c r="D5" s="10" t="s">
        <v>373</v>
      </c>
    </row>
    <row r="6" spans="1:4" ht="13.5" customHeight="1" x14ac:dyDescent="0.4">
      <c r="A6" s="47" t="s">
        <v>565</v>
      </c>
      <c r="B6" s="44">
        <f>Inputs!$B$92</f>
        <v>4</v>
      </c>
      <c r="C6" s="57" t="s">
        <v>54</v>
      </c>
      <c r="D6" s="57"/>
    </row>
    <row r="7" spans="1:4" ht="13.5" customHeight="1" x14ac:dyDescent="0.4">
      <c r="A7" s="47" t="s">
        <v>566</v>
      </c>
      <c r="B7" s="44">
        <f>Inputs!$B$93</f>
        <v>5</v>
      </c>
      <c r="C7" s="57" t="s">
        <v>54</v>
      </c>
      <c r="D7" s="57"/>
    </row>
    <row r="8" spans="1:4" ht="13.5" customHeight="1" x14ac:dyDescent="0.4">
      <c r="A8" s="47" t="s">
        <v>567</v>
      </c>
      <c r="B8" s="44">
        <f>Inputs!$B$59</f>
        <v>10</v>
      </c>
      <c r="C8" s="57" t="s">
        <v>54</v>
      </c>
      <c r="D8" s="57" t="s">
        <v>568</v>
      </c>
    </row>
    <row r="9" spans="1:4" ht="13.5" customHeight="1" x14ac:dyDescent="0.4">
      <c r="A9" s="47" t="s">
        <v>245</v>
      </c>
      <c r="B9" s="43">
        <f>Inputs!$B$90</f>
        <v>0.35</v>
      </c>
      <c r="C9" s="57" t="s">
        <v>246</v>
      </c>
      <c r="D9" s="57"/>
    </row>
    <row r="10" spans="1:4" ht="13.5" customHeight="1" x14ac:dyDescent="0.4">
      <c r="A10" s="47" t="s">
        <v>569</v>
      </c>
      <c r="B10" s="46">
        <f>B6*B7*B8</f>
        <v>200</v>
      </c>
      <c r="C10" s="57" t="s">
        <v>330</v>
      </c>
      <c r="D10" s="57" t="s">
        <v>570</v>
      </c>
    </row>
    <row r="11" spans="1:4" ht="13.5" customHeight="1" x14ac:dyDescent="0.4">
      <c r="A11" s="47" t="s">
        <v>571</v>
      </c>
      <c r="B11" s="46">
        <f>B9*B10</f>
        <v>70</v>
      </c>
      <c r="C11" s="57" t="s">
        <v>572</v>
      </c>
      <c r="D11" s="57"/>
    </row>
    <row r="12" spans="1:4" ht="13.5" customHeight="1" x14ac:dyDescent="0.4">
      <c r="A12" s="47" t="s">
        <v>255</v>
      </c>
      <c r="B12" s="68">
        <f>Inputs!$B$94</f>
        <v>2</v>
      </c>
      <c r="C12" s="57" t="s">
        <v>256</v>
      </c>
      <c r="D12" s="57"/>
    </row>
    <row r="13" spans="1:4" ht="13.5" customHeight="1" x14ac:dyDescent="0.4">
      <c r="A13" s="47" t="s">
        <v>573</v>
      </c>
      <c r="B13" s="84">
        <f>B11*B12</f>
        <v>140</v>
      </c>
      <c r="C13" s="57" t="s">
        <v>572</v>
      </c>
      <c r="D13" s="57" t="s">
        <v>574</v>
      </c>
    </row>
    <row r="14" spans="1:4" ht="13.5" customHeight="1" x14ac:dyDescent="0.4">
      <c r="A14" s="47" t="s">
        <v>248</v>
      </c>
      <c r="B14" s="46">
        <f>Inputs!$B$90*Inputs!$B$91</f>
        <v>19.25</v>
      </c>
      <c r="C14" s="57" t="s">
        <v>122</v>
      </c>
      <c r="D14" s="57" t="s">
        <v>575</v>
      </c>
    </row>
    <row r="15" spans="1:4" ht="13.5" customHeight="1" x14ac:dyDescent="0.4">
      <c r="A15" s="47" t="s">
        <v>576</v>
      </c>
      <c r="B15" s="44">
        <f>Inputs!$B$35</f>
        <v>35</v>
      </c>
      <c r="C15" s="57" t="s">
        <v>122</v>
      </c>
      <c r="D15" s="57" t="s">
        <v>577</v>
      </c>
    </row>
    <row r="16" spans="1:4" ht="13.5" customHeight="1" x14ac:dyDescent="0.4">
      <c r="A16" s="47" t="s">
        <v>578</v>
      </c>
      <c r="B16" s="85">
        <f>IFERROR(B14/B15,0)</f>
        <v>0.55000000000000004</v>
      </c>
      <c r="C16" s="57" t="s">
        <v>192</v>
      </c>
      <c r="D16" s="57" t="s">
        <v>579</v>
      </c>
    </row>
    <row r="18" spans="1:4" x14ac:dyDescent="0.4">
      <c r="A18" s="40" t="s">
        <v>580</v>
      </c>
      <c r="B18" s="40"/>
      <c r="C18" s="40"/>
      <c r="D18" s="40"/>
    </row>
    <row r="19" spans="1:4" ht="30" customHeight="1" x14ac:dyDescent="0.4">
      <c r="A19" s="10" t="s">
        <v>372</v>
      </c>
      <c r="B19" s="10" t="s">
        <v>49</v>
      </c>
      <c r="C19" s="10" t="s">
        <v>50</v>
      </c>
      <c r="D19" s="10" t="s">
        <v>373</v>
      </c>
    </row>
    <row r="20" spans="1:4" ht="13.5" customHeight="1" x14ac:dyDescent="0.4">
      <c r="A20" s="47" t="s">
        <v>581</v>
      </c>
      <c r="B20" s="58">
        <f>Inputs!$B$95</f>
        <v>300</v>
      </c>
      <c r="C20" s="57" t="s">
        <v>54</v>
      </c>
      <c r="D20" s="57"/>
    </row>
    <row r="21" spans="1:4" ht="13.5" customHeight="1" x14ac:dyDescent="0.4">
      <c r="A21" s="47" t="s">
        <v>582</v>
      </c>
      <c r="B21" s="58">
        <f>Inputs!$B$96</f>
        <v>500</v>
      </c>
      <c r="C21" s="57" t="s">
        <v>261</v>
      </c>
      <c r="D21" s="57"/>
    </row>
    <row r="22" spans="1:4" ht="13.5" customHeight="1" x14ac:dyDescent="0.4">
      <c r="A22" s="47" t="s">
        <v>583</v>
      </c>
      <c r="B22" s="43">
        <f>Inputs!$B$97</f>
        <v>1.6</v>
      </c>
      <c r="C22" s="57"/>
      <c r="D22" s="57"/>
    </row>
    <row r="23" spans="1:4" ht="13.5" customHeight="1" x14ac:dyDescent="0.4">
      <c r="A23" s="47" t="s">
        <v>584</v>
      </c>
      <c r="B23" s="46">
        <f>B20/SQRT(B13)</f>
        <v>25.354627641855497</v>
      </c>
      <c r="C23" s="57" t="s">
        <v>585</v>
      </c>
      <c r="D23" s="57"/>
    </row>
    <row r="24" spans="1:4" ht="13.5" customHeight="1" x14ac:dyDescent="0.4">
      <c r="A24" s="47" t="s">
        <v>586</v>
      </c>
      <c r="B24" s="61">
        <f>B21*B23^(-B22)</f>
        <v>2.8345128184245341</v>
      </c>
      <c r="C24" s="57" t="s">
        <v>261</v>
      </c>
      <c r="D24" s="57"/>
    </row>
    <row r="25" spans="1:4" ht="13.5" customHeight="1" x14ac:dyDescent="0.4">
      <c r="A25" s="47" t="s">
        <v>587</v>
      </c>
      <c r="B25" s="84">
        <f>INDEX($B$34:$D$38,Inputs!$B$98,Inputs!$B$99)</f>
        <v>10</v>
      </c>
      <c r="C25" s="57" t="s">
        <v>261</v>
      </c>
      <c r="D25" s="57" t="s">
        <v>588</v>
      </c>
    </row>
    <row r="26" spans="1:4" ht="13.5" customHeight="1" x14ac:dyDescent="0.4">
      <c r="A26" s="47" t="s">
        <v>589</v>
      </c>
      <c r="B26" s="69" t="str">
        <f>IF(B24&lt;=B25,"Within limit","EXCEEDS limit")</f>
        <v>Within limit</v>
      </c>
      <c r="C26" s="57"/>
      <c r="D26" s="57"/>
    </row>
    <row r="27" spans="1:4" ht="13.5" customHeight="1" x14ac:dyDescent="0.4">
      <c r="A27" s="47" t="s">
        <v>590</v>
      </c>
      <c r="B27" s="46">
        <f>IFERROR(B25/B24,0)</f>
        <v>3.5279431213008783</v>
      </c>
      <c r="C27" s="57" t="s">
        <v>189</v>
      </c>
      <c r="D27" s="57" t="s">
        <v>591</v>
      </c>
    </row>
    <row r="28" spans="1:4" ht="13.5" customHeight="1" x14ac:dyDescent="0.4">
      <c r="A28" s="47" t="s">
        <v>592</v>
      </c>
      <c r="B28" s="42">
        <f>SQRT(B13)*(B21/B25)^(1/B22)</f>
        <v>136.43326441637117</v>
      </c>
      <c r="C28" s="57" t="s">
        <v>54</v>
      </c>
      <c r="D28" s="57" t="s">
        <v>593</v>
      </c>
    </row>
    <row r="29" spans="1:4" ht="13.5" customHeight="1" x14ac:dyDescent="0.4">
      <c r="A29" s="47" t="s">
        <v>594</v>
      </c>
      <c r="B29" s="52">
        <f>(B20/(B21/B25)^(1/B22))^2</f>
        <v>676.90855675555122</v>
      </c>
      <c r="C29" s="57" t="s">
        <v>572</v>
      </c>
      <c r="D29" s="57" t="s">
        <v>595</v>
      </c>
    </row>
    <row r="31" spans="1:4" x14ac:dyDescent="0.4">
      <c r="A31" s="40" t="s">
        <v>596</v>
      </c>
      <c r="B31" s="40"/>
      <c r="C31" s="40"/>
      <c r="D31" s="40"/>
    </row>
    <row r="32" spans="1:4" x14ac:dyDescent="0.4">
      <c r="A32" s="9" t="s">
        <v>597</v>
      </c>
    </row>
    <row r="33" spans="1:6" ht="19.5" customHeight="1" x14ac:dyDescent="0.4">
      <c r="A33" s="10" t="s">
        <v>265</v>
      </c>
      <c r="B33" s="10" t="s">
        <v>598</v>
      </c>
      <c r="C33" s="10" t="s">
        <v>599</v>
      </c>
      <c r="D33" s="10" t="s">
        <v>600</v>
      </c>
    </row>
    <row r="34" spans="1:6" x14ac:dyDescent="0.4">
      <c r="A34" s="47" t="s">
        <v>601</v>
      </c>
      <c r="B34" s="70">
        <v>5</v>
      </c>
      <c r="C34" s="70">
        <v>10</v>
      </c>
      <c r="D34" s="70">
        <v>15</v>
      </c>
    </row>
    <row r="35" spans="1:6" x14ac:dyDescent="0.4">
      <c r="A35" s="47" t="s">
        <v>602</v>
      </c>
      <c r="B35" s="70">
        <v>10</v>
      </c>
      <c r="C35" s="70">
        <v>20</v>
      </c>
      <c r="D35" s="70">
        <v>25</v>
      </c>
    </row>
    <row r="36" spans="1:6" x14ac:dyDescent="0.4">
      <c r="A36" s="47" t="s">
        <v>603</v>
      </c>
      <c r="B36" s="70">
        <v>2</v>
      </c>
      <c r="C36" s="70">
        <v>5</v>
      </c>
      <c r="D36" s="70">
        <v>10</v>
      </c>
    </row>
    <row r="37" spans="1:6" x14ac:dyDescent="0.4">
      <c r="A37" s="47" t="s">
        <v>604</v>
      </c>
      <c r="B37" s="70">
        <v>10</v>
      </c>
      <c r="C37" s="70">
        <v>15</v>
      </c>
      <c r="D37" s="70">
        <v>25</v>
      </c>
    </row>
    <row r="38" spans="1:6" x14ac:dyDescent="0.4">
      <c r="A38" s="47" t="s">
        <v>605</v>
      </c>
      <c r="B38" s="70">
        <v>15</v>
      </c>
      <c r="C38" s="70">
        <v>25</v>
      </c>
      <c r="D38" s="70">
        <v>50</v>
      </c>
    </row>
    <row r="40" spans="1:6" x14ac:dyDescent="0.4">
      <c r="A40" s="40" t="s">
        <v>606</v>
      </c>
      <c r="B40" s="40"/>
      <c r="C40" s="40"/>
      <c r="D40" s="40"/>
      <c r="E40" s="40"/>
      <c r="F40" s="40"/>
    </row>
    <row r="41" spans="1:6" ht="42" customHeight="1" x14ac:dyDescent="0.4">
      <c r="A41" s="10" t="s">
        <v>607</v>
      </c>
      <c r="B41" s="10" t="s">
        <v>608</v>
      </c>
      <c r="C41" s="10" t="s">
        <v>609</v>
      </c>
      <c r="D41" s="10" t="s">
        <v>610</v>
      </c>
      <c r="E41" s="10" t="s">
        <v>611</v>
      </c>
      <c r="F41" s="10" t="s">
        <v>612</v>
      </c>
    </row>
    <row r="42" spans="1:6" x14ac:dyDescent="0.4">
      <c r="A42" s="68">
        <f>Inputs!$B$23</f>
        <v>20</v>
      </c>
      <c r="B42" s="45">
        <f>A42/3.6</f>
        <v>5.5555555555555554</v>
      </c>
      <c r="C42" s="46">
        <f>B42*Inputs!$B$100</f>
        <v>8.3333333333333321</v>
      </c>
      <c r="D42" s="46">
        <f>IF(Inputs!$B$101&gt;Inputs!$B$66/100,B42^2/(2*9.81*(Inputs!$B$101-Inputs!$B$66/100)),"cannot stop")</f>
        <v>5.8262916772122546</v>
      </c>
      <c r="E42" s="84">
        <f>IF(ISNUMBER(D42),C42+D42,"cannot stop")</f>
        <v>14.159625010545586</v>
      </c>
      <c r="F42" s="71" t="str">
        <f>IF(ISNUMBER(E42),IF(E42&lt;=Inputs!$B$102,"Yes","No"),"No")</f>
        <v>Yes</v>
      </c>
    </row>
    <row r="43" spans="1:6" x14ac:dyDescent="0.4">
      <c r="A43" s="68">
        <f>Inputs!$B$103</f>
        <v>30</v>
      </c>
      <c r="B43" s="45">
        <f>A43/3.6</f>
        <v>8.3333333333333339</v>
      </c>
      <c r="C43" s="46">
        <f>B43*Inputs!$B$100</f>
        <v>12.5</v>
      </c>
      <c r="D43" s="46">
        <f>IF(Inputs!$B$101&gt;Inputs!$B$66/100,B43^2/(2*9.81*(Inputs!$B$101-Inputs!$B$66/100)),"cannot stop")</f>
        <v>13.109156273727576</v>
      </c>
      <c r="E43" s="84">
        <f>IF(ISNUMBER(D43),C43+D43,"cannot stop")</f>
        <v>25.609156273727578</v>
      </c>
      <c r="F43" s="71" t="str">
        <f>IF(ISNUMBER(E43),IF(E43&lt;=Inputs!$B$102,"Yes","No"),"No")</f>
        <v>Yes</v>
      </c>
    </row>
    <row r="44" spans="1:6" x14ac:dyDescent="0.4">
      <c r="A44" s="70">
        <v>10</v>
      </c>
      <c r="B44" s="45">
        <f>A44/3.6</f>
        <v>2.7777777777777777</v>
      </c>
      <c r="C44" s="46">
        <f>B44*Inputs!$B$100</f>
        <v>4.1666666666666661</v>
      </c>
      <c r="D44" s="46">
        <f>IF(Inputs!$B$101&gt;Inputs!$B$66/100,B44^2/(2*9.81*(Inputs!$B$101-Inputs!$B$66/100)),"cannot stop")</f>
        <v>1.4565729193030637</v>
      </c>
      <c r="E44" s="84">
        <f>IF(ISNUMBER(D44),C44+D44,"cannot stop")</f>
        <v>5.6232395859697295</v>
      </c>
      <c r="F44" s="71" t="str">
        <f>IF(ISNUMBER(E44),IF(E44&lt;=Inputs!$B$102,"Yes","No"),"No")</f>
        <v>Yes</v>
      </c>
    </row>
    <row r="45" spans="1:6" x14ac:dyDescent="0.4">
      <c r="A45" s="70">
        <v>40</v>
      </c>
      <c r="B45" s="45">
        <f>A45/3.6</f>
        <v>11.111111111111111</v>
      </c>
      <c r="C45" s="46">
        <f>B45*Inputs!$B$100</f>
        <v>16.666666666666664</v>
      </c>
      <c r="D45" s="46">
        <f>IF(Inputs!$B$101&gt;Inputs!$B$66/100,B45^2/(2*9.81*(Inputs!$B$101-Inputs!$B$66/100)),"cannot stop")</f>
        <v>23.305166708849018</v>
      </c>
      <c r="E45" s="84">
        <f>IF(ISNUMBER(D45),C45+D45,"cannot stop")</f>
        <v>39.971833375515686</v>
      </c>
      <c r="F45" s="71" t="str">
        <f>IF(ISNUMBER(E45),IF(E45&lt;=Inputs!$B$102,"Yes","No"),"No")</f>
        <v>Yes</v>
      </c>
    </row>
    <row r="46" spans="1:6" x14ac:dyDescent="0.4">
      <c r="A46" s="70">
        <v>50</v>
      </c>
      <c r="B46" s="45">
        <f>A46/3.6</f>
        <v>13.888888888888889</v>
      </c>
      <c r="C46" s="46">
        <f>B46*Inputs!$B$100</f>
        <v>20.833333333333336</v>
      </c>
      <c r="D46" s="46">
        <f>IF(Inputs!$B$101&gt;Inputs!$B$66/100,B46^2/(2*9.81*(Inputs!$B$101-Inputs!$B$66/100)),"cannot stop")</f>
        <v>36.414322982576593</v>
      </c>
      <c r="E46" s="84">
        <f>IF(ISNUMBER(D46),C46+D46,"cannot stop")</f>
        <v>57.247656315909929</v>
      </c>
      <c r="F46" s="71" t="str">
        <f>IF(ISNUMBER(E46),IF(E46&lt;=Inputs!$B$102,"Yes","No"),"No")</f>
        <v>Yes</v>
      </c>
    </row>
    <row r="47" spans="1:6" x14ac:dyDescent="0.4">
      <c r="A47" s="9" t="s">
        <v>613</v>
      </c>
    </row>
    <row r="48" spans="1:6" x14ac:dyDescent="0.4">
      <c r="A48" s="9" t="s">
        <v>614</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61"/>
  <sheetViews>
    <sheetView showGridLines="0" zoomScaleNormal="100" workbookViewId="0">
      <pane ySplit="3" topLeftCell="A4" activePane="bottomLeft" state="frozen"/>
      <selection pane="bottomLeft"/>
    </sheetView>
  </sheetViews>
  <sheetFormatPr defaultColWidth="8.69140625" defaultRowHeight="14.6" x14ac:dyDescent="0.4"/>
  <cols>
    <col min="1" max="1" width="50" customWidth="1"/>
    <col min="2" max="2" width="18" customWidth="1"/>
    <col min="3" max="4" width="14" customWidth="1"/>
    <col min="5" max="6" width="16" customWidth="1"/>
    <col min="7" max="7" width="18" customWidth="1"/>
  </cols>
  <sheetData>
    <row r="1" spans="1:7" ht="17.25" customHeight="1" x14ac:dyDescent="0.4">
      <c r="A1" s="7" t="s">
        <v>615</v>
      </c>
    </row>
    <row r="2" spans="1:7" x14ac:dyDescent="0.4">
      <c r="A2" s="9" t="s">
        <v>616</v>
      </c>
    </row>
    <row r="4" spans="1:7" x14ac:dyDescent="0.4">
      <c r="A4" s="40" t="s">
        <v>617</v>
      </c>
      <c r="B4" s="40"/>
      <c r="C4" s="40"/>
      <c r="D4" s="40"/>
      <c r="E4" s="40"/>
      <c r="F4" s="40"/>
      <c r="G4" s="40"/>
    </row>
    <row r="5" spans="1:7" ht="42" customHeight="1" x14ac:dyDescent="0.4">
      <c r="A5" s="10" t="s">
        <v>618</v>
      </c>
      <c r="B5" s="10" t="s">
        <v>619</v>
      </c>
      <c r="C5" s="10" t="s">
        <v>620</v>
      </c>
      <c r="D5" s="10" t="s">
        <v>621</v>
      </c>
      <c r="E5" s="10" t="s">
        <v>622</v>
      </c>
      <c r="F5" s="10" t="s">
        <v>623</v>
      </c>
      <c r="G5" s="10" t="s">
        <v>624</v>
      </c>
    </row>
    <row r="6" spans="1:7" ht="13.5" customHeight="1" x14ac:dyDescent="0.4">
      <c r="A6" s="86" t="s">
        <v>625</v>
      </c>
      <c r="B6" s="87">
        <v>1.3</v>
      </c>
      <c r="C6" s="88">
        <v>6</v>
      </c>
      <c r="D6" s="88">
        <v>8</v>
      </c>
      <c r="E6" s="46">
        <f>SUM($C$6:C6)</f>
        <v>6</v>
      </c>
      <c r="F6" s="46">
        <f>SUM($G$6:G6)/E6*100</f>
        <v>8</v>
      </c>
      <c r="G6" s="45">
        <f t="shared" ref="G6:G12" si="0">C6*D6/100</f>
        <v>0.48</v>
      </c>
    </row>
    <row r="7" spans="1:7" ht="13.5" customHeight="1" x14ac:dyDescent="0.4">
      <c r="A7" s="86" t="s">
        <v>626</v>
      </c>
      <c r="B7" s="87">
        <v>1.4</v>
      </c>
      <c r="C7" s="88">
        <v>12</v>
      </c>
      <c r="D7" s="88">
        <v>14</v>
      </c>
      <c r="E7" s="46">
        <f>SUM($C$6:C7)</f>
        <v>18</v>
      </c>
      <c r="F7" s="46">
        <f>SUM($G$6:G7)/E7*100</f>
        <v>12.000000000000002</v>
      </c>
      <c r="G7" s="45">
        <f t="shared" si="0"/>
        <v>1.68</v>
      </c>
    </row>
    <row r="8" spans="1:7" ht="13.5" customHeight="1" x14ac:dyDescent="0.4">
      <c r="A8" s="86" t="s">
        <v>627</v>
      </c>
      <c r="B8" s="87">
        <v>1.5</v>
      </c>
      <c r="C8" s="88">
        <v>14</v>
      </c>
      <c r="D8" s="88">
        <v>22</v>
      </c>
      <c r="E8" s="46">
        <f>SUM($C$6:C8)</f>
        <v>32</v>
      </c>
      <c r="F8" s="46">
        <f>SUM($G$6:G8)/E8*100</f>
        <v>16.375</v>
      </c>
      <c r="G8" s="45">
        <f t="shared" si="0"/>
        <v>3.08</v>
      </c>
    </row>
    <row r="9" spans="1:7" ht="13.5" customHeight="1" x14ac:dyDescent="0.4">
      <c r="A9" s="86" t="s">
        <v>628</v>
      </c>
      <c r="B9" s="87">
        <v>1.6</v>
      </c>
      <c r="C9" s="88">
        <v>13</v>
      </c>
      <c r="D9" s="88">
        <v>32</v>
      </c>
      <c r="E9" s="46">
        <f>SUM($C$6:C9)</f>
        <v>45</v>
      </c>
      <c r="F9" s="46">
        <f>SUM($G$6:G9)/E9*100</f>
        <v>20.888888888888889</v>
      </c>
      <c r="G9" s="45">
        <f t="shared" si="0"/>
        <v>4.16</v>
      </c>
    </row>
    <row r="10" spans="1:7" ht="13.5" customHeight="1" x14ac:dyDescent="0.4">
      <c r="A10" s="86" t="s">
        <v>629</v>
      </c>
      <c r="B10" s="87">
        <v>1.8</v>
      </c>
      <c r="C10" s="88">
        <v>15</v>
      </c>
      <c r="D10" s="88">
        <v>44</v>
      </c>
      <c r="E10" s="46">
        <f>SUM($C$6:C10)</f>
        <v>60</v>
      </c>
      <c r="F10" s="46">
        <f>SUM($G$6:G10)/E10*100</f>
        <v>26.666666666666668</v>
      </c>
      <c r="G10" s="45">
        <f t="shared" si="0"/>
        <v>6.6</v>
      </c>
    </row>
    <row r="11" spans="1:7" ht="13.5" customHeight="1" x14ac:dyDescent="0.4">
      <c r="A11" s="86" t="s">
        <v>630</v>
      </c>
      <c r="B11" s="87">
        <v>2</v>
      </c>
      <c r="C11" s="88">
        <v>12</v>
      </c>
      <c r="D11" s="88">
        <v>58</v>
      </c>
      <c r="E11" s="46">
        <f>SUM($C$6:C11)</f>
        <v>72</v>
      </c>
      <c r="F11" s="46">
        <f>SUM($G$6:G11)/E11*100</f>
        <v>31.888888888888889</v>
      </c>
      <c r="G11" s="45">
        <f t="shared" si="0"/>
        <v>6.96</v>
      </c>
    </row>
    <row r="12" spans="1:7" ht="13.5" customHeight="1" x14ac:dyDescent="0.4">
      <c r="A12" s="86" t="s">
        <v>631</v>
      </c>
      <c r="B12" s="87" t="s">
        <v>632</v>
      </c>
      <c r="C12" s="88">
        <v>28</v>
      </c>
      <c r="D12" s="88">
        <v>78</v>
      </c>
      <c r="E12" s="46">
        <f>SUM($C$6:C12)</f>
        <v>100</v>
      </c>
      <c r="F12" s="46">
        <f>SUM($G$6:G12)/E12*100</f>
        <v>44.8</v>
      </c>
      <c r="G12" s="45">
        <f t="shared" si="0"/>
        <v>21.84</v>
      </c>
    </row>
    <row r="13" spans="1:7" x14ac:dyDescent="0.4">
      <c r="A13" s="53" t="s">
        <v>363</v>
      </c>
      <c r="B13" s="54"/>
      <c r="C13" s="67">
        <f>SUM(C6:C12)</f>
        <v>100</v>
      </c>
      <c r="D13" s="54"/>
      <c r="E13" s="54"/>
      <c r="F13" s="67">
        <f>F12</f>
        <v>44.8</v>
      </c>
      <c r="G13" s="89">
        <f>SUM(G6:G12)</f>
        <v>44.8</v>
      </c>
    </row>
    <row r="14" spans="1:7" x14ac:dyDescent="0.4">
      <c r="A14" s="9" t="s">
        <v>633</v>
      </c>
    </row>
    <row r="16" spans="1:7" x14ac:dyDescent="0.4">
      <c r="A16" s="40" t="s">
        <v>634</v>
      </c>
      <c r="B16" s="40"/>
      <c r="C16" s="40"/>
      <c r="D16" s="40"/>
    </row>
    <row r="17" spans="1:4" ht="30" customHeight="1" x14ac:dyDescent="0.4">
      <c r="A17" s="10" t="s">
        <v>372</v>
      </c>
      <c r="B17" s="10" t="s">
        <v>49</v>
      </c>
      <c r="C17" s="10" t="s">
        <v>50</v>
      </c>
      <c r="D17" s="10" t="s">
        <v>373</v>
      </c>
    </row>
    <row r="18" spans="1:4" ht="13.5" customHeight="1" x14ac:dyDescent="0.4">
      <c r="A18" s="47" t="s">
        <v>202</v>
      </c>
      <c r="B18" s="44">
        <f>Inputs!$B$71</f>
        <v>28</v>
      </c>
      <c r="C18" s="57" t="s">
        <v>192</v>
      </c>
      <c r="D18" s="57" t="s">
        <v>377</v>
      </c>
    </row>
    <row r="19" spans="1:4" ht="13.5" customHeight="1" x14ac:dyDescent="0.4">
      <c r="A19" s="47" t="s">
        <v>635</v>
      </c>
      <c r="B19" s="46">
        <f>F12</f>
        <v>44.8</v>
      </c>
      <c r="C19" s="57" t="s">
        <v>192</v>
      </c>
      <c r="D19" s="57"/>
    </row>
    <row r="20" spans="1:4" ht="13.5" customHeight="1" x14ac:dyDescent="0.4">
      <c r="A20" s="47" t="s">
        <v>636</v>
      </c>
      <c r="B20" s="51">
        <f>IFERROR(MATCH(B18,$F$6:$F$12,1),0)</f>
        <v>5</v>
      </c>
      <c r="C20" s="57" t="s">
        <v>637</v>
      </c>
      <c r="D20" s="57" t="s">
        <v>638</v>
      </c>
    </row>
    <row r="21" spans="1:4" ht="13.5" customHeight="1" x14ac:dyDescent="0.4">
      <c r="A21" s="47" t="s">
        <v>639</v>
      </c>
      <c r="B21" s="48">
        <f>IF(AND(B20&gt;=1,B20&lt;=6),(B18-INDEX($F$6:$F$12,B20))/(INDEX($F$6:$F$12,B20+1)-INDEX($F$6:$F$12,B20)),0)</f>
        <v>0.25531914893617003</v>
      </c>
      <c r="C21" s="57"/>
      <c r="D21" s="57" t="s">
        <v>640</v>
      </c>
    </row>
    <row r="22" spans="1:4" ht="13.5" customHeight="1" x14ac:dyDescent="0.4">
      <c r="A22" s="47" t="s">
        <v>641</v>
      </c>
      <c r="B22" s="46">
        <f>IF(B20=0,0,IF(B20&gt;=7,100,INDEX($E$6:$E$12,B20)+B21*(INDEX($E$6:$E$12,B20+1)-INDEX($E$6:$E$12,B20))))</f>
        <v>63.063829787234042</v>
      </c>
      <c r="C22" s="57" t="s">
        <v>192</v>
      </c>
      <c r="D22" s="57" t="s">
        <v>642</v>
      </c>
    </row>
    <row r="23" spans="1:4" ht="13.5" customHeight="1" x14ac:dyDescent="0.4">
      <c r="A23" s="47" t="s">
        <v>643</v>
      </c>
      <c r="B23" s="45">
        <f>IF(AND(B20&gt;=1,B20&lt;=5),INDEX($B$6:$B$12,B20)+B21*(INDEX($B$6:$B$12,B20+1)-INDEX($B$6:$B$12,B20)),"n/a")</f>
        <v>1.8510638297872339</v>
      </c>
      <c r="C23" s="57" t="s">
        <v>644</v>
      </c>
      <c r="D23" s="57" t="s">
        <v>645</v>
      </c>
    </row>
    <row r="24" spans="1:4" ht="13.5" customHeight="1" x14ac:dyDescent="0.4">
      <c r="A24" s="47" t="s">
        <v>646</v>
      </c>
      <c r="B24" s="46">
        <f>IFERROR((INDEX($E$6:$E$11,MATCH((B23+0.1),$B$6:$B$11,1))+((B23+0.1)-INDEX($B$6:$B$11,MATCH((B23+0.1),$B$6:$B$11,1)))/(INDEX($B$6:$B$11,MATCH((B23+0.1),$B$6:$B$11,1)+1)-INDEX($B$6:$B$11,MATCH((B23+0.1),$B$6:$B$11,1)))*(INDEX($E$6:$E$11,MATCH((B23+0.1),$B$6:$B$11,1)+1)-INDEX($E$6:$E$11,MATCH((B23+0.1),$B$6:$B$11,1))))-(INDEX($E$6:$E$11,MATCH((B23-0.1),$B$6:$B$11,1))+((B23-0.1)-INDEX($B$6:$B$11,MATCH((B23-0.1),$B$6:$B$11,1)))/(INDEX($B$6:$B$11,MATCH((B23-0.1),$B$6:$B$11,1)+1)-INDEX($B$6:$B$11,MATCH((B23-0.1),$B$6:$B$11,1)))*(INDEX($E$6:$E$11,MATCH((B23-0.1),$B$6:$B$11,1)+1)-INDEX($E$6:$E$11,MATCH((B23-0.1),$B$6:$B$11,1)))),"n/a")</f>
        <v>12.734042553191507</v>
      </c>
      <c r="C24" s="57" t="s">
        <v>192</v>
      </c>
      <c r="D24" s="57" t="s">
        <v>647</v>
      </c>
    </row>
    <row r="25" spans="1:4" ht="13.5" customHeight="1" x14ac:dyDescent="0.4">
      <c r="A25" s="47" t="s">
        <v>648</v>
      </c>
      <c r="B25" s="43">
        <f>Inputs!$B$72</f>
        <v>0.94</v>
      </c>
      <c r="C25" s="57" t="s">
        <v>65</v>
      </c>
      <c r="D25" s="57" t="s">
        <v>649</v>
      </c>
    </row>
    <row r="26" spans="1:4" ht="13.5" customHeight="1" x14ac:dyDescent="0.4">
      <c r="A26" s="47" t="s">
        <v>650</v>
      </c>
      <c r="B26" s="84">
        <f>B25*B22</f>
        <v>59.279999999999994</v>
      </c>
      <c r="C26" s="57" t="s">
        <v>192</v>
      </c>
      <c r="D26" s="57"/>
    </row>
    <row r="27" spans="1:4" ht="13.5" customHeight="1" x14ac:dyDescent="0.4">
      <c r="A27" s="47" t="s">
        <v>651</v>
      </c>
      <c r="B27" s="46">
        <f>IF(B26&lt;100,(B19-B26/100*B18)/(1-B26/100),0)</f>
        <v>69.257367387033398</v>
      </c>
      <c r="C27" s="57" t="s">
        <v>192</v>
      </c>
      <c r="D27" s="57" t="s">
        <v>652</v>
      </c>
    </row>
    <row r="29" spans="1:4" x14ac:dyDescent="0.4">
      <c r="A29" s="40" t="s">
        <v>653</v>
      </c>
      <c r="B29" s="40"/>
      <c r="C29" s="40"/>
      <c r="D29" s="40"/>
    </row>
    <row r="30" spans="1:4" ht="30" customHeight="1" x14ac:dyDescent="0.4">
      <c r="A30" s="10" t="s">
        <v>372</v>
      </c>
      <c r="B30" s="10" t="s">
        <v>49</v>
      </c>
      <c r="C30" s="10" t="s">
        <v>50</v>
      </c>
      <c r="D30" s="10" t="s">
        <v>373</v>
      </c>
    </row>
    <row r="31" spans="1:4" ht="13.5" customHeight="1" x14ac:dyDescent="0.4">
      <c r="A31" s="47" t="s">
        <v>654</v>
      </c>
      <c r="B31" s="58">
        <f>Inputs!$B$42</f>
        <v>2200</v>
      </c>
      <c r="C31" s="57" t="s">
        <v>125</v>
      </c>
      <c r="D31" s="57" t="s">
        <v>655</v>
      </c>
    </row>
    <row r="32" spans="1:4" ht="13.5" customHeight="1" x14ac:dyDescent="0.4">
      <c r="A32" s="47" t="s">
        <v>656</v>
      </c>
      <c r="B32" s="58">
        <f>Inputs!$B$73</f>
        <v>4200</v>
      </c>
      <c r="C32" s="57" t="s">
        <v>125</v>
      </c>
      <c r="D32" s="57"/>
    </row>
    <row r="33" spans="1:4" ht="13.5" customHeight="1" x14ac:dyDescent="0.4">
      <c r="A33" s="47" t="s">
        <v>657</v>
      </c>
      <c r="B33" s="48">
        <f>B26/100</f>
        <v>0.59279999999999999</v>
      </c>
      <c r="C33" s="57"/>
      <c r="D33" s="57"/>
    </row>
    <row r="34" spans="1:4" ht="13.5" customHeight="1" x14ac:dyDescent="0.4">
      <c r="A34" s="47" t="s">
        <v>658</v>
      </c>
      <c r="B34" s="42">
        <f>B33*B32</f>
        <v>2489.7599999999998</v>
      </c>
      <c r="C34" s="57" t="s">
        <v>125</v>
      </c>
      <c r="D34" s="57" t="s">
        <v>659</v>
      </c>
    </row>
    <row r="35" spans="1:4" ht="13.5" customHeight="1" x14ac:dyDescent="0.4">
      <c r="A35" s="47" t="s">
        <v>660</v>
      </c>
      <c r="B35" s="42">
        <f>(1-B33)*Inputs!$B$75</f>
        <v>0</v>
      </c>
      <c r="C35" s="57" t="s">
        <v>125</v>
      </c>
      <c r="D35" s="57"/>
    </row>
    <row r="36" spans="1:4" ht="13.5" customHeight="1" x14ac:dyDescent="0.4">
      <c r="A36" s="47" t="s">
        <v>661</v>
      </c>
      <c r="B36" s="58">
        <f>Inputs!$B$74</f>
        <v>150</v>
      </c>
      <c r="C36" s="57" t="s">
        <v>125</v>
      </c>
      <c r="D36" s="57"/>
    </row>
    <row r="37" spans="1:4" ht="13.5" customHeight="1" x14ac:dyDescent="0.4">
      <c r="A37" s="47" t="s">
        <v>662</v>
      </c>
      <c r="B37" s="42">
        <f>B34+B35-B36</f>
        <v>2339.7599999999998</v>
      </c>
      <c r="C37" s="57" t="s">
        <v>125</v>
      </c>
      <c r="D37" s="57"/>
    </row>
    <row r="38" spans="1:4" ht="13.5" customHeight="1" x14ac:dyDescent="0.4">
      <c r="A38" s="47" t="s">
        <v>663</v>
      </c>
      <c r="B38" s="90">
        <f>B37-B31</f>
        <v>139.75999999999976</v>
      </c>
      <c r="C38" s="57" t="s">
        <v>125</v>
      </c>
      <c r="D38" s="57" t="s">
        <v>664</v>
      </c>
    </row>
    <row r="39" spans="1:4" ht="13.5" customHeight="1" x14ac:dyDescent="0.4">
      <c r="A39" s="47" t="s">
        <v>665</v>
      </c>
      <c r="B39" s="42">
        <f>IFERROR((B31+B36-B35)/B33,0)</f>
        <v>3964.237516869096</v>
      </c>
      <c r="C39" s="57" t="s">
        <v>125</v>
      </c>
      <c r="D39" s="57" t="s">
        <v>666</v>
      </c>
    </row>
    <row r="40" spans="1:4" ht="13.5" customHeight="1" x14ac:dyDescent="0.4">
      <c r="A40" s="47" t="s">
        <v>477</v>
      </c>
      <c r="B40" s="69" t="str">
        <f>IF(B38&gt;0,"Washing pays","Sell raw")</f>
        <v>Washing pays</v>
      </c>
      <c r="C40" s="57"/>
      <c r="D40" s="57"/>
    </row>
    <row r="41" spans="1:4" ht="13.5" customHeight="1" x14ac:dyDescent="0.4">
      <c r="A41" s="47" t="s">
        <v>667</v>
      </c>
      <c r="B41" s="90">
        <f>IF(Inputs!$B$48=1,B37,B31)</f>
        <v>2200</v>
      </c>
      <c r="C41" s="57" t="s">
        <v>125</v>
      </c>
      <c r="D41" s="57" t="s">
        <v>668</v>
      </c>
    </row>
    <row r="43" spans="1:4" x14ac:dyDescent="0.4">
      <c r="A43" s="40" t="s">
        <v>669</v>
      </c>
      <c r="B43" s="40"/>
      <c r="C43" s="40"/>
      <c r="D43" s="40"/>
    </row>
    <row r="44" spans="1:4" ht="30" customHeight="1" x14ac:dyDescent="0.4">
      <c r="A44" s="10" t="s">
        <v>372</v>
      </c>
      <c r="B44" s="10" t="s">
        <v>49</v>
      </c>
      <c r="C44" s="10" t="s">
        <v>50</v>
      </c>
      <c r="D44" s="10" t="s">
        <v>373</v>
      </c>
    </row>
    <row r="45" spans="1:4" ht="13.5" customHeight="1" x14ac:dyDescent="0.4">
      <c r="A45" s="47" t="s">
        <v>670</v>
      </c>
      <c r="B45" s="42">
        <f>B41</f>
        <v>2200</v>
      </c>
      <c r="C45" s="57" t="s">
        <v>125</v>
      </c>
      <c r="D45" s="57" t="s">
        <v>671</v>
      </c>
    </row>
    <row r="46" spans="1:4" ht="13.5" customHeight="1" x14ac:dyDescent="0.4">
      <c r="A46" s="47" t="s">
        <v>672</v>
      </c>
      <c r="B46" s="91">
        <f>Inputs!$B$76</f>
        <v>0.14000000000000001</v>
      </c>
      <c r="C46" s="57" t="s">
        <v>673</v>
      </c>
      <c r="D46" s="57"/>
    </row>
    <row r="47" spans="1:4" ht="13.5" customHeight="1" x14ac:dyDescent="0.4">
      <c r="A47" s="47" t="s">
        <v>674</v>
      </c>
      <c r="B47" s="52">
        <f>B46*B45</f>
        <v>308.00000000000006</v>
      </c>
      <c r="C47" s="57" t="s">
        <v>125</v>
      </c>
      <c r="D47" s="57" t="s">
        <v>675</v>
      </c>
    </row>
    <row r="48" spans="1:4" ht="13.5" customHeight="1" x14ac:dyDescent="0.4">
      <c r="A48" s="47" t="s">
        <v>676</v>
      </c>
      <c r="B48" s="52">
        <f>Inputs!$B$77*B47</f>
        <v>92.40000000000002</v>
      </c>
      <c r="C48" s="57" t="s">
        <v>125</v>
      </c>
      <c r="D48" s="57" t="s">
        <v>677</v>
      </c>
    </row>
    <row r="49" spans="1:4" ht="13.5" customHeight="1" x14ac:dyDescent="0.4">
      <c r="A49" s="47" t="s">
        <v>678</v>
      </c>
      <c r="B49" s="52">
        <f>Inputs!$B$78*B47</f>
        <v>9.240000000000002</v>
      </c>
      <c r="C49" s="57" t="s">
        <v>125</v>
      </c>
      <c r="D49" s="57" t="s">
        <v>679</v>
      </c>
    </row>
    <row r="50" spans="1:4" ht="13.5" customHeight="1" x14ac:dyDescent="0.4">
      <c r="A50" s="47" t="s">
        <v>221</v>
      </c>
      <c r="B50" s="92">
        <f>Inputs!$B$79</f>
        <v>10</v>
      </c>
      <c r="C50" s="57" t="s">
        <v>125</v>
      </c>
      <c r="D50" s="57" t="s">
        <v>680</v>
      </c>
    </row>
    <row r="51" spans="1:4" ht="13.5" customHeight="1" x14ac:dyDescent="0.4">
      <c r="A51" s="47" t="s">
        <v>681</v>
      </c>
      <c r="B51" s="93">
        <f>SUM(B47:B50)</f>
        <v>419.6400000000001</v>
      </c>
      <c r="C51" s="57" t="s">
        <v>125</v>
      </c>
      <c r="D51" s="57"/>
    </row>
    <row r="52" spans="1:4" ht="13.5" customHeight="1" x14ac:dyDescent="0.4">
      <c r="A52" s="47" t="s">
        <v>682</v>
      </c>
      <c r="B52" s="58">
        <f>Inputs!$B$41</f>
        <v>900</v>
      </c>
      <c r="C52" s="57" t="s">
        <v>125</v>
      </c>
      <c r="D52" s="57" t="s">
        <v>683</v>
      </c>
    </row>
    <row r="53" spans="1:4" ht="13.5" customHeight="1" x14ac:dyDescent="0.4">
      <c r="A53" s="47" t="s">
        <v>684</v>
      </c>
      <c r="B53" s="93">
        <f>IF(Inputs!$B$47=1,B51,B52)</f>
        <v>900</v>
      </c>
      <c r="C53" s="57" t="s">
        <v>125</v>
      </c>
      <c r="D53" s="57" t="s">
        <v>685</v>
      </c>
    </row>
    <row r="54" spans="1:4" ht="13.5" customHeight="1" x14ac:dyDescent="0.4">
      <c r="A54" s="47" t="s">
        <v>686</v>
      </c>
      <c r="B54" s="62">
        <f>IFERROR(B53/B45,0)</f>
        <v>0.40909090909090912</v>
      </c>
      <c r="C54" s="57" t="s">
        <v>192</v>
      </c>
      <c r="D54" s="57"/>
    </row>
    <row r="55" spans="1:4" ht="13.5" customHeight="1" x14ac:dyDescent="0.4">
      <c r="A55" s="47" t="s">
        <v>687</v>
      </c>
      <c r="B55" s="94">
        <f>B47*Inputs!$B$11/10000000</f>
        <v>15.400000000000002</v>
      </c>
      <c r="C55" s="57" t="s">
        <v>140</v>
      </c>
      <c r="D55" s="57" t="s">
        <v>688</v>
      </c>
    </row>
    <row r="56" spans="1:4" ht="13.5" customHeight="1" x14ac:dyDescent="0.4">
      <c r="A56" s="47" t="s">
        <v>689</v>
      </c>
      <c r="B56" s="94">
        <f>(B48+B49)*Inputs!$B$11/10000000</f>
        <v>5.0820000000000007</v>
      </c>
      <c r="C56" s="57" t="s">
        <v>140</v>
      </c>
      <c r="D56" s="57"/>
    </row>
    <row r="57" spans="1:4" ht="13.5" customHeight="1" x14ac:dyDescent="0.4">
      <c r="A57" s="47" t="s">
        <v>690</v>
      </c>
      <c r="B57" s="62">
        <f>B46*(1+Inputs!$B$77+Inputs!$B$78)</f>
        <v>0.18620000000000003</v>
      </c>
      <c r="C57" s="57" t="s">
        <v>691</v>
      </c>
      <c r="D57" s="57" t="s">
        <v>692</v>
      </c>
    </row>
    <row r="59" spans="1:4" x14ac:dyDescent="0.4">
      <c r="A59" s="9" t="s">
        <v>693</v>
      </c>
    </row>
    <row r="60" spans="1:4" x14ac:dyDescent="0.4">
      <c r="A60" s="9" t="s">
        <v>694</v>
      </c>
    </row>
    <row r="61" spans="1:4" x14ac:dyDescent="0.4">
      <c r="A61" s="9" t="s">
        <v>695</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34"/>
  <sheetViews>
    <sheetView showGridLines="0" zoomScaleNormal="100" workbookViewId="0">
      <pane ySplit="4" topLeftCell="A5" activePane="bottomLeft" state="frozen"/>
      <selection pane="bottomLeft"/>
    </sheetView>
  </sheetViews>
  <sheetFormatPr defaultColWidth="8.69140625" defaultRowHeight="14.6" x14ac:dyDescent="0.4"/>
  <cols>
    <col min="1" max="1" width="48" customWidth="1"/>
    <col min="2" max="2" width="20" customWidth="1"/>
    <col min="3" max="3" width="12" customWidth="1"/>
    <col min="4" max="4" width="74" customWidth="1"/>
  </cols>
  <sheetData>
    <row r="1" spans="1:4" ht="17.25" customHeight="1" x14ac:dyDescent="0.4">
      <c r="A1" s="7" t="s">
        <v>696</v>
      </c>
      <c r="B1" s="8"/>
      <c r="C1" s="8"/>
      <c r="D1" s="8"/>
    </row>
    <row r="2" spans="1:4" ht="15" customHeight="1" x14ac:dyDescent="0.4">
      <c r="A2" s="9" t="s">
        <v>697</v>
      </c>
      <c r="B2" s="8"/>
      <c r="C2" s="8"/>
      <c r="D2" s="8"/>
    </row>
    <row r="3" spans="1:4" ht="15" customHeight="1" x14ac:dyDescent="0.4">
      <c r="A3" s="8"/>
      <c r="B3" s="8"/>
      <c r="C3" s="8"/>
      <c r="D3" s="8"/>
    </row>
    <row r="4" spans="1:4" ht="30" customHeight="1" x14ac:dyDescent="0.4">
      <c r="A4" s="10" t="s">
        <v>372</v>
      </c>
      <c r="B4" s="10" t="s">
        <v>49</v>
      </c>
      <c r="C4" s="10" t="s">
        <v>50</v>
      </c>
      <c r="D4" s="10" t="s">
        <v>373</v>
      </c>
    </row>
    <row r="5" spans="1:4" ht="15" customHeight="1" x14ac:dyDescent="0.4">
      <c r="A5" s="11" t="s">
        <v>698</v>
      </c>
      <c r="B5" s="12"/>
      <c r="C5" s="12"/>
      <c r="D5" s="12"/>
    </row>
    <row r="6" spans="1:4" ht="13.5" customHeight="1" x14ac:dyDescent="0.4">
      <c r="A6" s="13" t="s">
        <v>699</v>
      </c>
      <c r="B6" s="95">
        <f>Inputs!$B$35</f>
        <v>35</v>
      </c>
      <c r="C6" s="15" t="s">
        <v>122</v>
      </c>
      <c r="D6" s="16" t="s">
        <v>700</v>
      </c>
    </row>
    <row r="7" spans="1:4" ht="13.5" customHeight="1" x14ac:dyDescent="0.4">
      <c r="A7" s="13" t="s">
        <v>701</v>
      </c>
      <c r="B7" s="77">
        <f>Inputs!$B$37/Fleet!$B$11</f>
        <v>17.867647058823533</v>
      </c>
      <c r="C7" s="15" t="s">
        <v>122</v>
      </c>
      <c r="D7" s="16" t="s">
        <v>702</v>
      </c>
    </row>
    <row r="8" spans="1:4" ht="13.5" customHeight="1" x14ac:dyDescent="0.4">
      <c r="A8" s="13" t="s">
        <v>703</v>
      </c>
      <c r="B8" s="77">
        <f>Inputs!$B$38/(Fleet!$B$23/Inputs!$B$9)</f>
        <v>60.69327731092438</v>
      </c>
      <c r="C8" s="15" t="s">
        <v>122</v>
      </c>
      <c r="D8" s="16" t="s">
        <v>704</v>
      </c>
    </row>
    <row r="9" spans="1:4" ht="13.5" customHeight="1" x14ac:dyDescent="0.4">
      <c r="A9" s="36" t="s">
        <v>705</v>
      </c>
      <c r="B9" s="96">
        <f>SUM(B6:B8)</f>
        <v>113.56092436974791</v>
      </c>
      <c r="C9" s="15" t="s">
        <v>122</v>
      </c>
      <c r="D9" s="16" t="s">
        <v>706</v>
      </c>
    </row>
    <row r="10" spans="1:4" ht="15" customHeight="1" x14ac:dyDescent="0.4">
      <c r="A10" s="11" t="s">
        <v>707</v>
      </c>
      <c r="B10" s="12"/>
      <c r="C10" s="12"/>
      <c r="D10" s="12"/>
    </row>
    <row r="11" spans="1:4" ht="13.5" customHeight="1" x14ac:dyDescent="0.4">
      <c r="A11" s="13" t="s">
        <v>699</v>
      </c>
      <c r="B11" s="95">
        <f>Inputs!$B$36</f>
        <v>20</v>
      </c>
      <c r="C11" s="15" t="s">
        <v>125</v>
      </c>
      <c r="D11" s="16" t="s">
        <v>700</v>
      </c>
    </row>
    <row r="12" spans="1:4" ht="13.5" customHeight="1" x14ac:dyDescent="0.4">
      <c r="A12" s="13" t="s">
        <v>701</v>
      </c>
      <c r="B12" s="77">
        <f>Inputs!$B$37/Fleet!$C$12</f>
        <v>12.289915966386555</v>
      </c>
      <c r="C12" s="15" t="s">
        <v>125</v>
      </c>
      <c r="D12" s="16" t="s">
        <v>708</v>
      </c>
    </row>
    <row r="13" spans="1:4" ht="13.5" customHeight="1" x14ac:dyDescent="0.4">
      <c r="A13" s="13" t="s">
        <v>703</v>
      </c>
      <c r="B13" s="77">
        <f>Inputs!$B$38/Fleet!$C$23</f>
        <v>39.925970388155264</v>
      </c>
      <c r="C13" s="15" t="s">
        <v>125</v>
      </c>
      <c r="D13" s="16" t="s">
        <v>709</v>
      </c>
    </row>
    <row r="14" spans="1:4" ht="13.5" customHeight="1" x14ac:dyDescent="0.4">
      <c r="A14" s="13" t="s">
        <v>710</v>
      </c>
      <c r="B14" s="95">
        <f>Inputs!$B$39</f>
        <v>150</v>
      </c>
      <c r="C14" s="15" t="s">
        <v>125</v>
      </c>
      <c r="D14" s="16" t="s">
        <v>700</v>
      </c>
    </row>
    <row r="15" spans="1:4" ht="13.5" customHeight="1" x14ac:dyDescent="0.4">
      <c r="A15" s="13" t="s">
        <v>711</v>
      </c>
      <c r="B15" s="95">
        <f>Inputs!$B$40</f>
        <v>600</v>
      </c>
      <c r="C15" s="15" t="s">
        <v>125</v>
      </c>
      <c r="D15" s="16" t="s">
        <v>700</v>
      </c>
    </row>
    <row r="16" spans="1:4" ht="13.5" customHeight="1" x14ac:dyDescent="0.4">
      <c r="A16" s="13" t="s">
        <v>712</v>
      </c>
      <c r="B16" s="95">
        <f>'Quality and royalty'!$B$53</f>
        <v>900</v>
      </c>
      <c r="C16" s="15" t="s">
        <v>125</v>
      </c>
      <c r="D16" s="16" t="s">
        <v>713</v>
      </c>
    </row>
    <row r="17" spans="1:4" ht="13.5" customHeight="1" x14ac:dyDescent="0.4">
      <c r="A17" s="36" t="s">
        <v>714</v>
      </c>
      <c r="B17" s="96">
        <f>SUM(B11:B16)</f>
        <v>1722.2158863545419</v>
      </c>
      <c r="C17" s="15" t="s">
        <v>125</v>
      </c>
      <c r="D17" s="16" t="s">
        <v>715</v>
      </c>
    </row>
    <row r="18" spans="1:4" ht="15" customHeight="1" x14ac:dyDescent="0.4">
      <c r="A18" s="11" t="s">
        <v>716</v>
      </c>
      <c r="B18" s="12"/>
      <c r="C18" s="12"/>
      <c r="D18" s="12"/>
    </row>
    <row r="19" spans="1:4" ht="13.5" customHeight="1" x14ac:dyDescent="0.4">
      <c r="A19" s="13" t="s">
        <v>137</v>
      </c>
      <c r="B19" s="97">
        <f>'Quality and royalty'!$B$41</f>
        <v>2200</v>
      </c>
      <c r="C19" s="15" t="s">
        <v>125</v>
      </c>
      <c r="D19" s="16" t="s">
        <v>717</v>
      </c>
    </row>
    <row r="20" spans="1:4" ht="13.5" customHeight="1" x14ac:dyDescent="0.4">
      <c r="A20" s="13" t="s">
        <v>718</v>
      </c>
      <c r="B20" s="77">
        <f>B19-B17</f>
        <v>477.78411364545809</v>
      </c>
      <c r="C20" s="15" t="s">
        <v>125</v>
      </c>
      <c r="D20" s="16" t="s">
        <v>719</v>
      </c>
    </row>
    <row r="21" spans="1:4" ht="13.5" customHeight="1" x14ac:dyDescent="0.4">
      <c r="A21" s="36" t="s">
        <v>720</v>
      </c>
      <c r="B21" s="98">
        <f>IF(B9&gt;0,B20/B9,0)</f>
        <v>4.2072932771295539</v>
      </c>
      <c r="C21" s="15" t="s">
        <v>318</v>
      </c>
      <c r="D21" s="16" t="s">
        <v>721</v>
      </c>
    </row>
    <row r="22" spans="1:4" ht="13.5" customHeight="1" x14ac:dyDescent="0.4">
      <c r="A22" s="13" t="s">
        <v>722</v>
      </c>
      <c r="B22" s="73">
        <f>Reserve!$B$38</f>
        <v>2.9310858019828281</v>
      </c>
      <c r="C22" s="15" t="s">
        <v>318</v>
      </c>
      <c r="D22" s="16" t="s">
        <v>723</v>
      </c>
    </row>
    <row r="23" spans="1:4" ht="13.5" customHeight="1" x14ac:dyDescent="0.4">
      <c r="A23" s="36" t="s">
        <v>724</v>
      </c>
      <c r="B23" s="99" t="str">
        <f>IF(B22&lt;=B21,"Viable on average","Not viable on average")</f>
        <v>Viable on average</v>
      </c>
      <c r="C23" s="15"/>
      <c r="D23" s="16" t="s">
        <v>725</v>
      </c>
    </row>
    <row r="24" spans="1:4" ht="15" customHeight="1" x14ac:dyDescent="0.4">
      <c r="A24" s="11" t="s">
        <v>726</v>
      </c>
      <c r="B24" s="12"/>
      <c r="C24" s="12"/>
      <c r="D24" s="12"/>
    </row>
    <row r="25" spans="1:4" ht="13.5" customHeight="1" x14ac:dyDescent="0.4">
      <c r="A25" s="36" t="s">
        <v>727</v>
      </c>
      <c r="B25" s="96">
        <f>B17+B22*B9</f>
        <v>2055.0726994347556</v>
      </c>
      <c r="C25" s="15" t="s">
        <v>125</v>
      </c>
      <c r="D25" s="16" t="s">
        <v>728</v>
      </c>
    </row>
    <row r="26" spans="1:4" ht="13.5" customHeight="1" x14ac:dyDescent="0.4">
      <c r="A26" s="36" t="s">
        <v>729</v>
      </c>
      <c r="B26" s="96">
        <f>B19-B25</f>
        <v>144.92730056524442</v>
      </c>
      <c r="C26" s="15" t="s">
        <v>125</v>
      </c>
      <c r="D26" s="16" t="s">
        <v>730</v>
      </c>
    </row>
    <row r="27" spans="1:4" ht="13.5" customHeight="1" x14ac:dyDescent="0.4">
      <c r="A27" s="13" t="s">
        <v>731</v>
      </c>
      <c r="B27" s="100">
        <f>IF(B19&gt;0,B26/B19,0)</f>
        <v>6.5876045711474734E-2</v>
      </c>
      <c r="C27" s="15" t="s">
        <v>192</v>
      </c>
      <c r="D27" s="16" t="s">
        <v>732</v>
      </c>
    </row>
    <row r="28" spans="1:4" ht="13.5" customHeight="1" x14ac:dyDescent="0.4">
      <c r="A28" s="13" t="s">
        <v>733</v>
      </c>
      <c r="B28" s="97">
        <f>Inputs!$B$11</f>
        <v>500000</v>
      </c>
      <c r="C28" s="15" t="s">
        <v>545</v>
      </c>
      <c r="D28" s="16" t="s">
        <v>700</v>
      </c>
    </row>
    <row r="29" spans="1:4" ht="13.5" customHeight="1" x14ac:dyDescent="0.4">
      <c r="A29" s="13" t="s">
        <v>734</v>
      </c>
      <c r="B29" s="77">
        <f>B28*B19/10000000</f>
        <v>110</v>
      </c>
      <c r="C29" s="15" t="s">
        <v>140</v>
      </c>
      <c r="D29" s="16" t="s">
        <v>735</v>
      </c>
    </row>
    <row r="30" spans="1:4" ht="15" customHeight="1" x14ac:dyDescent="0.4">
      <c r="A30" s="13" t="s">
        <v>736</v>
      </c>
      <c r="B30" s="77">
        <f>B28*B25/10000000</f>
        <v>102.75363497173778</v>
      </c>
      <c r="C30" s="15" t="s">
        <v>140</v>
      </c>
      <c r="D30" s="16"/>
    </row>
    <row r="31" spans="1:4" ht="15" customHeight="1" x14ac:dyDescent="0.4">
      <c r="A31" s="36" t="s">
        <v>737</v>
      </c>
      <c r="B31" s="96">
        <f>B29-B30</f>
        <v>7.2463650282622183</v>
      </c>
      <c r="C31" s="15" t="s">
        <v>140</v>
      </c>
      <c r="D31" s="16"/>
    </row>
    <row r="32" spans="1:4" ht="13.5" customHeight="1" x14ac:dyDescent="0.4">
      <c r="A32" s="13" t="s">
        <v>738</v>
      </c>
      <c r="B32" s="78">
        <f>Reserve!$B$40</f>
        <v>3.3874399999999998</v>
      </c>
      <c r="C32" s="15" t="s">
        <v>196</v>
      </c>
      <c r="D32" s="16" t="s">
        <v>739</v>
      </c>
    </row>
    <row r="33" spans="1:4" ht="13.5" customHeight="1" x14ac:dyDescent="0.4">
      <c r="A33" s="13" t="s">
        <v>139</v>
      </c>
      <c r="B33" s="95">
        <f>Inputs!$B$43</f>
        <v>10</v>
      </c>
      <c r="C33" s="15" t="s">
        <v>140</v>
      </c>
      <c r="D33" s="16" t="s">
        <v>700</v>
      </c>
    </row>
    <row r="34" spans="1:4" ht="13.5" customHeight="1" x14ac:dyDescent="0.4">
      <c r="A34" s="36" t="s">
        <v>740</v>
      </c>
      <c r="B34" s="96">
        <f>'Cash flow'!$B$19</f>
        <v>9.9382192025494476</v>
      </c>
      <c r="C34" s="15" t="s">
        <v>140</v>
      </c>
      <c r="D34" s="16" t="s">
        <v>741</v>
      </c>
    </row>
  </sheetData>
  <printOptions horizontalCentered="1"/>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20"/>
  <sheetViews>
    <sheetView showGridLines="0" zoomScaleNormal="100" workbookViewId="0">
      <pane ySplit="4" topLeftCell="A5" activePane="bottomLeft" state="frozen"/>
      <selection pane="bottomLeft"/>
    </sheetView>
  </sheetViews>
  <sheetFormatPr defaultColWidth="8.69140625" defaultRowHeight="14.6" x14ac:dyDescent="0.4"/>
  <cols>
    <col min="1" max="1" width="40" customWidth="1"/>
    <col min="2" max="9" width="18" customWidth="1"/>
  </cols>
  <sheetData>
    <row r="1" spans="1:9" ht="17.25" customHeight="1" x14ac:dyDescent="0.4">
      <c r="A1" s="7" t="s">
        <v>742</v>
      </c>
      <c r="B1" s="8"/>
      <c r="C1" s="8"/>
      <c r="D1" s="8"/>
      <c r="E1" s="8"/>
      <c r="F1" s="8"/>
      <c r="G1" s="8"/>
      <c r="H1" s="8"/>
      <c r="I1" s="8"/>
    </row>
    <row r="2" spans="1:9" ht="15" customHeight="1" x14ac:dyDescent="0.4">
      <c r="A2" s="9" t="s">
        <v>743</v>
      </c>
      <c r="B2" s="8"/>
      <c r="C2" s="8"/>
      <c r="D2" s="8"/>
      <c r="E2" s="8"/>
      <c r="F2" s="8"/>
      <c r="G2" s="8"/>
      <c r="H2" s="8"/>
      <c r="I2" s="8"/>
    </row>
    <row r="3" spans="1:9" ht="15" customHeight="1" x14ac:dyDescent="0.4">
      <c r="A3" s="8"/>
      <c r="B3" s="8"/>
      <c r="C3" s="8"/>
      <c r="D3" s="8"/>
      <c r="E3" s="8"/>
      <c r="F3" s="8"/>
      <c r="G3" s="8"/>
      <c r="H3" s="8"/>
      <c r="I3" s="8"/>
    </row>
    <row r="4" spans="1:9" ht="30" customHeight="1" x14ac:dyDescent="0.4">
      <c r="A4" s="10" t="s">
        <v>744</v>
      </c>
      <c r="B4" s="10" t="s">
        <v>745</v>
      </c>
      <c r="C4" s="10" t="s">
        <v>746</v>
      </c>
      <c r="D4" s="10" t="s">
        <v>747</v>
      </c>
      <c r="E4" s="10" t="s">
        <v>748</v>
      </c>
      <c r="F4" s="10" t="s">
        <v>749</v>
      </c>
      <c r="G4" s="10" t="s">
        <v>750</v>
      </c>
      <c r="H4" s="10" t="s">
        <v>751</v>
      </c>
      <c r="I4" s="10" t="s">
        <v>752</v>
      </c>
    </row>
    <row r="5" spans="1:9" ht="15" customHeight="1" x14ac:dyDescent="0.4">
      <c r="A5" s="101">
        <v>1</v>
      </c>
      <c r="B5" s="80">
        <f>Reserve!$B$39</f>
        <v>1693720</v>
      </c>
      <c r="C5" s="80">
        <f>MIN(Inputs!$B$11,B5)</f>
        <v>500000</v>
      </c>
      <c r="D5" s="80">
        <f t="shared" ref="D5:D14" si="0">B5-C5</f>
        <v>1193720</v>
      </c>
      <c r="E5" s="102">
        <f>C5*Economics!$B$19/10000000</f>
        <v>110</v>
      </c>
      <c r="F5" s="102">
        <f>C5*Economics!$B$25/10000000</f>
        <v>102.75363497173778</v>
      </c>
      <c r="G5" s="102">
        <f t="shared" ref="G5:G14" si="1">E5-F5</f>
        <v>7.2463650282622183</v>
      </c>
      <c r="H5" s="74">
        <f>1/(1+Inputs!$B$44)^A5</f>
        <v>0.90909090909090906</v>
      </c>
      <c r="I5" s="102">
        <f t="shared" ref="I5:I14" si="2">G5*H5</f>
        <v>6.5876045711474713</v>
      </c>
    </row>
    <row r="6" spans="1:9" ht="15" customHeight="1" x14ac:dyDescent="0.4">
      <c r="A6" s="101">
        <v>2</v>
      </c>
      <c r="B6" s="80">
        <f t="shared" ref="B6:B14" si="3">D5</f>
        <v>1193720</v>
      </c>
      <c r="C6" s="80">
        <f>MIN(Inputs!$B$11,B6)</f>
        <v>500000</v>
      </c>
      <c r="D6" s="80">
        <f t="shared" si="0"/>
        <v>693720</v>
      </c>
      <c r="E6" s="102">
        <f>C6*Economics!$B$19/10000000</f>
        <v>110</v>
      </c>
      <c r="F6" s="102">
        <f>C6*Economics!$B$25/10000000</f>
        <v>102.75363497173778</v>
      </c>
      <c r="G6" s="102">
        <f t="shared" si="1"/>
        <v>7.2463650282622183</v>
      </c>
      <c r="H6" s="74">
        <f>1/(1+Inputs!$B$44)^A6</f>
        <v>0.82644628099173545</v>
      </c>
      <c r="I6" s="102">
        <f t="shared" si="2"/>
        <v>5.9887314283158819</v>
      </c>
    </row>
    <row r="7" spans="1:9" ht="15" customHeight="1" x14ac:dyDescent="0.4">
      <c r="A7" s="101">
        <v>3</v>
      </c>
      <c r="B7" s="80">
        <f t="shared" si="3"/>
        <v>693720</v>
      </c>
      <c r="C7" s="80">
        <f>MIN(Inputs!$B$11,B7)</f>
        <v>500000</v>
      </c>
      <c r="D7" s="80">
        <f t="shared" si="0"/>
        <v>193720</v>
      </c>
      <c r="E7" s="102">
        <f>C7*Economics!$B$19/10000000</f>
        <v>110</v>
      </c>
      <c r="F7" s="102">
        <f>C7*Economics!$B$25/10000000</f>
        <v>102.75363497173778</v>
      </c>
      <c r="G7" s="102">
        <f t="shared" si="1"/>
        <v>7.2463650282622183</v>
      </c>
      <c r="H7" s="74">
        <f>1/(1+Inputs!$B$44)^A7</f>
        <v>0.75131480090157754</v>
      </c>
      <c r="I7" s="102">
        <f t="shared" si="2"/>
        <v>5.4443012984689831</v>
      </c>
    </row>
    <row r="8" spans="1:9" ht="15" customHeight="1" x14ac:dyDescent="0.4">
      <c r="A8" s="101">
        <v>4</v>
      </c>
      <c r="B8" s="80">
        <f t="shared" si="3"/>
        <v>193720</v>
      </c>
      <c r="C8" s="80">
        <f>MIN(Inputs!$B$11,B8)</f>
        <v>193720</v>
      </c>
      <c r="D8" s="80">
        <f t="shared" si="0"/>
        <v>0</v>
      </c>
      <c r="E8" s="102">
        <f>C8*Economics!$B$19/10000000</f>
        <v>42.618400000000001</v>
      </c>
      <c r="F8" s="102">
        <f>C8*Economics!$B$25/10000000</f>
        <v>39.810868333450088</v>
      </c>
      <c r="G8" s="102">
        <f t="shared" si="1"/>
        <v>2.807531666549913</v>
      </c>
      <c r="H8" s="74">
        <f>1/(1+Inputs!$B$44)^A8</f>
        <v>0.68301345536507052</v>
      </c>
      <c r="I8" s="102">
        <f t="shared" si="2"/>
        <v>1.917581904617111</v>
      </c>
    </row>
    <row r="9" spans="1:9" ht="15" customHeight="1" x14ac:dyDescent="0.4">
      <c r="A9" s="101">
        <v>5</v>
      </c>
      <c r="B9" s="80">
        <f t="shared" si="3"/>
        <v>0</v>
      </c>
      <c r="C9" s="80">
        <f>MIN(Inputs!$B$11,B9)</f>
        <v>0</v>
      </c>
      <c r="D9" s="80">
        <f t="shared" si="0"/>
        <v>0</v>
      </c>
      <c r="E9" s="102">
        <f>C9*Economics!$B$19/10000000</f>
        <v>0</v>
      </c>
      <c r="F9" s="102">
        <f>C9*Economics!$B$25/10000000</f>
        <v>0</v>
      </c>
      <c r="G9" s="102">
        <f t="shared" si="1"/>
        <v>0</v>
      </c>
      <c r="H9" s="74">
        <f>1/(1+Inputs!$B$44)^A9</f>
        <v>0.62092132305915493</v>
      </c>
      <c r="I9" s="102">
        <f t="shared" si="2"/>
        <v>0</v>
      </c>
    </row>
    <row r="10" spans="1:9" ht="15" customHeight="1" x14ac:dyDescent="0.4">
      <c r="A10" s="101">
        <v>6</v>
      </c>
      <c r="B10" s="80">
        <f t="shared" si="3"/>
        <v>0</v>
      </c>
      <c r="C10" s="80">
        <f>MIN(Inputs!$B$11,B10)</f>
        <v>0</v>
      </c>
      <c r="D10" s="80">
        <f t="shared" si="0"/>
        <v>0</v>
      </c>
      <c r="E10" s="102">
        <f>C10*Economics!$B$19/10000000</f>
        <v>0</v>
      </c>
      <c r="F10" s="102">
        <f>C10*Economics!$B$25/10000000</f>
        <v>0</v>
      </c>
      <c r="G10" s="102">
        <f t="shared" si="1"/>
        <v>0</v>
      </c>
      <c r="H10" s="74">
        <f>1/(1+Inputs!$B$44)^A10</f>
        <v>0.56447393005377722</v>
      </c>
      <c r="I10" s="102">
        <f t="shared" si="2"/>
        <v>0</v>
      </c>
    </row>
    <row r="11" spans="1:9" ht="15" customHeight="1" x14ac:dyDescent="0.4">
      <c r="A11" s="101">
        <v>7</v>
      </c>
      <c r="B11" s="80">
        <f t="shared" si="3"/>
        <v>0</v>
      </c>
      <c r="C11" s="80">
        <f>MIN(Inputs!$B$11,B11)</f>
        <v>0</v>
      </c>
      <c r="D11" s="80">
        <f t="shared" si="0"/>
        <v>0</v>
      </c>
      <c r="E11" s="102">
        <f>C11*Economics!$B$19/10000000</f>
        <v>0</v>
      </c>
      <c r="F11" s="102">
        <f>C11*Economics!$B$25/10000000</f>
        <v>0</v>
      </c>
      <c r="G11" s="102">
        <f t="shared" si="1"/>
        <v>0</v>
      </c>
      <c r="H11" s="74">
        <f>1/(1+Inputs!$B$44)^A11</f>
        <v>0.51315811823070645</v>
      </c>
      <c r="I11" s="102">
        <f t="shared" si="2"/>
        <v>0</v>
      </c>
    </row>
    <row r="12" spans="1:9" ht="15" customHeight="1" x14ac:dyDescent="0.4">
      <c r="A12" s="101">
        <v>8</v>
      </c>
      <c r="B12" s="80">
        <f t="shared" si="3"/>
        <v>0</v>
      </c>
      <c r="C12" s="80">
        <f>MIN(Inputs!$B$11,B12)</f>
        <v>0</v>
      </c>
      <c r="D12" s="80">
        <f t="shared" si="0"/>
        <v>0</v>
      </c>
      <c r="E12" s="102">
        <f>C12*Economics!$B$19/10000000</f>
        <v>0</v>
      </c>
      <c r="F12" s="102">
        <f>C12*Economics!$B$25/10000000</f>
        <v>0</v>
      </c>
      <c r="G12" s="102">
        <f t="shared" si="1"/>
        <v>0</v>
      </c>
      <c r="H12" s="74">
        <f>1/(1+Inputs!$B$44)^A12</f>
        <v>0.46650738020973315</v>
      </c>
      <c r="I12" s="102">
        <f t="shared" si="2"/>
        <v>0</v>
      </c>
    </row>
    <row r="13" spans="1:9" ht="15" customHeight="1" x14ac:dyDescent="0.4">
      <c r="A13" s="101">
        <v>9</v>
      </c>
      <c r="B13" s="80">
        <f t="shared" si="3"/>
        <v>0</v>
      </c>
      <c r="C13" s="80">
        <f>MIN(Inputs!$B$11,B13)</f>
        <v>0</v>
      </c>
      <c r="D13" s="80">
        <f t="shared" si="0"/>
        <v>0</v>
      </c>
      <c r="E13" s="102">
        <f>C13*Economics!$B$19/10000000</f>
        <v>0</v>
      </c>
      <c r="F13" s="102">
        <f>C13*Economics!$B$25/10000000</f>
        <v>0</v>
      </c>
      <c r="G13" s="102">
        <f t="shared" si="1"/>
        <v>0</v>
      </c>
      <c r="H13" s="74">
        <f>1/(1+Inputs!$B$44)^A13</f>
        <v>0.42409761837248466</v>
      </c>
      <c r="I13" s="102">
        <f t="shared" si="2"/>
        <v>0</v>
      </c>
    </row>
    <row r="14" spans="1:9" ht="15" customHeight="1" x14ac:dyDescent="0.4">
      <c r="A14" s="101">
        <v>10</v>
      </c>
      <c r="B14" s="80">
        <f t="shared" si="3"/>
        <v>0</v>
      </c>
      <c r="C14" s="80">
        <f>MIN(Inputs!$B$11,B14)</f>
        <v>0</v>
      </c>
      <c r="D14" s="80">
        <f t="shared" si="0"/>
        <v>0</v>
      </c>
      <c r="E14" s="102">
        <f>C14*Economics!$B$19/10000000</f>
        <v>0</v>
      </c>
      <c r="F14" s="102">
        <f>C14*Economics!$B$25/10000000</f>
        <v>0</v>
      </c>
      <c r="G14" s="102">
        <f t="shared" si="1"/>
        <v>0</v>
      </c>
      <c r="H14" s="74">
        <f>1/(1+Inputs!$B$44)^A14</f>
        <v>0.38554328942953148</v>
      </c>
      <c r="I14" s="102">
        <f t="shared" si="2"/>
        <v>0</v>
      </c>
    </row>
    <row r="15" spans="1:9" ht="15" customHeight="1" x14ac:dyDescent="0.4">
      <c r="A15" s="28" t="s">
        <v>363</v>
      </c>
      <c r="B15" s="12"/>
      <c r="C15" s="103">
        <f>SUM(C5:C14)</f>
        <v>1693720</v>
      </c>
      <c r="D15" s="12"/>
      <c r="E15" s="104">
        <f>SUM(E5:E14)</f>
        <v>372.61840000000001</v>
      </c>
      <c r="F15" s="104">
        <f>SUM(F5:F14)</f>
        <v>348.07177324866348</v>
      </c>
      <c r="G15" s="104">
        <f>SUM(G5:G14)</f>
        <v>24.546626751336568</v>
      </c>
      <c r="H15" s="12"/>
      <c r="I15" s="104">
        <f>SUM(I5:I14)</f>
        <v>19.938219202549448</v>
      </c>
    </row>
    <row r="16" spans="1:9" ht="15" customHeight="1" x14ac:dyDescent="0.4">
      <c r="A16" s="8"/>
      <c r="B16" s="8"/>
      <c r="C16" s="8"/>
      <c r="D16" s="8"/>
      <c r="E16" s="8"/>
      <c r="F16" s="8"/>
      <c r="G16" s="8"/>
      <c r="H16" s="8"/>
      <c r="I16" s="8"/>
    </row>
    <row r="17" spans="1:9" ht="15" customHeight="1" x14ac:dyDescent="0.4">
      <c r="A17" s="105" t="s">
        <v>753</v>
      </c>
      <c r="B17" s="106">
        <f>I15</f>
        <v>19.938219202549448</v>
      </c>
      <c r="C17" s="8"/>
      <c r="D17" s="8"/>
      <c r="E17" s="8"/>
      <c r="F17" s="8"/>
      <c r="G17" s="8"/>
      <c r="H17" s="8"/>
      <c r="I17" s="8"/>
    </row>
    <row r="18" spans="1:9" ht="15" customHeight="1" x14ac:dyDescent="0.4">
      <c r="A18" s="105" t="s">
        <v>754</v>
      </c>
      <c r="B18" s="107">
        <f>Inputs!$B$43</f>
        <v>10</v>
      </c>
      <c r="C18" s="8"/>
      <c r="D18" s="8"/>
      <c r="E18" s="8"/>
      <c r="F18" s="8"/>
      <c r="G18" s="8"/>
      <c r="H18" s="8"/>
      <c r="I18" s="8"/>
    </row>
    <row r="19" spans="1:9" ht="15" customHeight="1" x14ac:dyDescent="0.4">
      <c r="A19" s="108" t="s">
        <v>755</v>
      </c>
      <c r="B19" s="109">
        <f>B17-B18</f>
        <v>9.9382192025494476</v>
      </c>
      <c r="C19" s="8"/>
      <c r="D19" s="8"/>
      <c r="E19" s="8"/>
      <c r="F19" s="8"/>
      <c r="G19" s="8"/>
      <c r="H19" s="8"/>
      <c r="I19" s="8"/>
    </row>
    <row r="20" spans="1:9" ht="15" customHeight="1" x14ac:dyDescent="0.4">
      <c r="A20" s="33" t="s">
        <v>756</v>
      </c>
      <c r="B20" s="8"/>
      <c r="C20" s="8"/>
      <c r="D20" s="8"/>
      <c r="E20" s="8"/>
      <c r="F20" s="8"/>
      <c r="G20" s="8"/>
      <c r="H20" s="8"/>
      <c r="I20" s="8"/>
    </row>
  </sheetData>
  <printOptions horizontalCentered="1"/>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40"/>
  <sheetViews>
    <sheetView showGridLines="0" zoomScaleNormal="100" workbookViewId="0">
      <pane ySplit="3" topLeftCell="A4" activePane="bottomLeft" state="frozen"/>
      <selection pane="bottomLeft"/>
    </sheetView>
  </sheetViews>
  <sheetFormatPr defaultColWidth="8.69140625" defaultRowHeight="14.6" x14ac:dyDescent="0.4"/>
  <cols>
    <col min="1" max="1" width="50" customWidth="1"/>
    <col min="2" max="3" width="18" customWidth="1"/>
    <col min="4" max="4" width="78" customWidth="1"/>
  </cols>
  <sheetData>
    <row r="1" spans="1:4" ht="17.25" customHeight="1" x14ac:dyDescent="0.4">
      <c r="A1" s="7" t="s">
        <v>757</v>
      </c>
    </row>
    <row r="2" spans="1:4" x14ac:dyDescent="0.4">
      <c r="A2" s="9" t="s">
        <v>758</v>
      </c>
    </row>
    <row r="4" spans="1:4" x14ac:dyDescent="0.4">
      <c r="A4" s="40" t="s">
        <v>759</v>
      </c>
      <c r="B4" s="40"/>
      <c r="C4" s="40"/>
      <c r="D4" s="40"/>
    </row>
    <row r="5" spans="1:4" ht="30" customHeight="1" x14ac:dyDescent="0.4">
      <c r="A5" s="10" t="s">
        <v>372</v>
      </c>
      <c r="B5" s="10" t="s">
        <v>49</v>
      </c>
      <c r="C5" s="10" t="s">
        <v>50</v>
      </c>
      <c r="D5" s="10" t="s">
        <v>373</v>
      </c>
    </row>
    <row r="6" spans="1:4" ht="13.5" customHeight="1" x14ac:dyDescent="0.4">
      <c r="A6" s="47" t="s">
        <v>760</v>
      </c>
      <c r="B6" s="110">
        <f>Reserve!B39/1000000</f>
        <v>1.6937199999999999</v>
      </c>
      <c r="C6" s="57" t="s">
        <v>761</v>
      </c>
      <c r="D6" s="57" t="s">
        <v>739</v>
      </c>
    </row>
    <row r="7" spans="1:4" ht="13.5" customHeight="1" x14ac:dyDescent="0.4">
      <c r="A7" s="47" t="s">
        <v>762</v>
      </c>
      <c r="B7" s="46">
        <f>Inputs!$B$68*(B6*1000000)^Inputs!$B$69</f>
        <v>7.215067519433882</v>
      </c>
      <c r="C7" s="57" t="s">
        <v>196</v>
      </c>
      <c r="D7" s="57" t="s">
        <v>763</v>
      </c>
    </row>
    <row r="8" spans="1:4" ht="13.5" customHeight="1" x14ac:dyDescent="0.4">
      <c r="A8" s="47" t="s">
        <v>764</v>
      </c>
      <c r="B8" s="111">
        <f>IF(B7&gt;0,B6/B7,0)</f>
        <v>0.23474762993387688</v>
      </c>
      <c r="C8" s="57" t="s">
        <v>765</v>
      </c>
      <c r="D8" s="57" t="s">
        <v>766</v>
      </c>
    </row>
    <row r="9" spans="1:4" ht="13.5" customHeight="1" x14ac:dyDescent="0.4">
      <c r="A9" s="47" t="s">
        <v>767</v>
      </c>
      <c r="B9" s="48">
        <f>IF(B7&gt;0,B6/(B7*1.25),0)</f>
        <v>0.1877981039471015</v>
      </c>
      <c r="C9" s="57" t="s">
        <v>765</v>
      </c>
      <c r="D9" s="57" t="s">
        <v>768</v>
      </c>
    </row>
    <row r="10" spans="1:4" ht="13.5" customHeight="1" x14ac:dyDescent="0.4">
      <c r="A10" s="47" t="s">
        <v>769</v>
      </c>
      <c r="B10" s="48">
        <f>IF(B7&gt;0,B6/(B7*0.75),0)</f>
        <v>0.3129968399118358</v>
      </c>
      <c r="C10" s="57" t="s">
        <v>765</v>
      </c>
      <c r="D10" s="57" t="s">
        <v>770</v>
      </c>
    </row>
    <row r="11" spans="1:4" ht="13.5" customHeight="1" x14ac:dyDescent="0.4">
      <c r="A11" s="47" t="s">
        <v>771</v>
      </c>
      <c r="B11" s="110">
        <f>Inputs!$B$11/1000000</f>
        <v>0.5</v>
      </c>
      <c r="C11" s="57" t="s">
        <v>765</v>
      </c>
      <c r="D11" s="57" t="s">
        <v>772</v>
      </c>
    </row>
    <row r="12" spans="1:4" ht="13.5" customHeight="1" x14ac:dyDescent="0.4">
      <c r="A12" s="47" t="s">
        <v>773</v>
      </c>
      <c r="B12" s="44">
        <f>Reserve!B40</f>
        <v>3.3874399999999998</v>
      </c>
      <c r="C12" s="57" t="s">
        <v>196</v>
      </c>
      <c r="D12" s="57"/>
    </row>
    <row r="13" spans="1:4" ht="13.5" customHeight="1" x14ac:dyDescent="0.4">
      <c r="A13" s="47" t="s">
        <v>774</v>
      </c>
      <c r="B13" s="45">
        <f>IFERROR(B11/B8,0)</f>
        <v>2.1299469568269496</v>
      </c>
      <c r="C13" s="57" t="s">
        <v>189</v>
      </c>
      <c r="D13" s="57"/>
    </row>
    <row r="14" spans="1:4" ht="13.5" customHeight="1" x14ac:dyDescent="0.4">
      <c r="A14" s="47" t="s">
        <v>477</v>
      </c>
      <c r="B14" s="69" t="str">
        <f>IF(B11&gt;B10,"Above range",IF(B11&lt;B9,"Below range","Within range"))</f>
        <v>Above range</v>
      </c>
      <c r="C14" s="57"/>
      <c r="D14" s="57" t="s">
        <v>775</v>
      </c>
    </row>
    <row r="16" spans="1:4" x14ac:dyDescent="0.4">
      <c r="A16" s="40" t="s">
        <v>776</v>
      </c>
      <c r="B16" s="40"/>
      <c r="C16" s="40"/>
      <c r="D16" s="40"/>
    </row>
    <row r="17" spans="1:4" ht="30" customHeight="1" x14ac:dyDescent="0.4">
      <c r="A17" s="10" t="s">
        <v>372</v>
      </c>
      <c r="B17" s="10" t="s">
        <v>777</v>
      </c>
      <c r="C17" s="10" t="s">
        <v>778</v>
      </c>
      <c r="D17" s="10" t="s">
        <v>373</v>
      </c>
    </row>
    <row r="18" spans="1:4" ht="13.5" customHeight="1" x14ac:dyDescent="0.4">
      <c r="A18" s="47" t="s">
        <v>779</v>
      </c>
      <c r="B18" s="58">
        <f>Inputs!$B$11</f>
        <v>500000</v>
      </c>
      <c r="C18" s="42">
        <f>B8*1000000</f>
        <v>234747.62993387689</v>
      </c>
      <c r="D18" s="57" t="s">
        <v>545</v>
      </c>
    </row>
    <row r="19" spans="1:4" ht="13.5" customHeight="1" x14ac:dyDescent="0.4">
      <c r="A19" s="47" t="s">
        <v>780</v>
      </c>
      <c r="B19" s="46">
        <f>B12</f>
        <v>3.3874399999999998</v>
      </c>
      <c r="C19" s="46">
        <f>B7</f>
        <v>7.215067519433882</v>
      </c>
      <c r="D19" s="57" t="s">
        <v>196</v>
      </c>
    </row>
    <row r="20" spans="1:4" ht="13.5" customHeight="1" x14ac:dyDescent="0.4">
      <c r="A20" s="47" t="s">
        <v>547</v>
      </c>
      <c r="B20" s="58">
        <f>Fleet!B29+Fleet!C29</f>
        <v>7184.6136194827159</v>
      </c>
      <c r="C20" s="42">
        <f>B20*C18/B18</f>
        <v>3373.1420383284408</v>
      </c>
      <c r="D20" s="57" t="s">
        <v>781</v>
      </c>
    </row>
    <row r="21" spans="1:4" ht="13.5" customHeight="1" x14ac:dyDescent="0.4">
      <c r="A21" s="47" t="s">
        <v>782</v>
      </c>
      <c r="B21" s="51">
        <f>ROUNDUP(B20/Fleet!$B$26,0)</f>
        <v>2</v>
      </c>
      <c r="C21" s="51">
        <f>ROUNDUP(C20/Fleet!$B$26,0)</f>
        <v>1</v>
      </c>
      <c r="D21" s="57" t="s">
        <v>552</v>
      </c>
    </row>
    <row r="22" spans="1:4" ht="13.5" customHeight="1" x14ac:dyDescent="0.4">
      <c r="A22" s="47" t="s">
        <v>549</v>
      </c>
      <c r="B22" s="58">
        <f>Fleet!B30+Fleet!C30</f>
        <v>36303.862298335371</v>
      </c>
      <c r="C22" s="42">
        <f>B22*C18/B18</f>
        <v>17044.491263960113</v>
      </c>
      <c r="D22" s="57" t="s">
        <v>781</v>
      </c>
    </row>
    <row r="23" spans="1:4" ht="13.5" customHeight="1" x14ac:dyDescent="0.4">
      <c r="A23" s="47" t="s">
        <v>783</v>
      </c>
      <c r="B23" s="51">
        <f>ROUNDUP(B22/Fleet!$B$26,0)</f>
        <v>7</v>
      </c>
      <c r="C23" s="51">
        <f>ROUNDUP(C22/Fleet!$B$26,0)</f>
        <v>4</v>
      </c>
      <c r="D23" s="57" t="s">
        <v>552</v>
      </c>
    </row>
    <row r="24" spans="1:4" ht="13.5" customHeight="1" x14ac:dyDescent="0.4">
      <c r="A24" s="47" t="s">
        <v>784</v>
      </c>
      <c r="B24" s="52">
        <f>B21*Inputs!$B$81+B23*Inputs!$B$82</f>
        <v>22</v>
      </c>
      <c r="C24" s="52">
        <f>C21*Inputs!$B$81+C23*Inputs!$B$82</f>
        <v>12</v>
      </c>
      <c r="D24" s="57" t="s">
        <v>785</v>
      </c>
    </row>
    <row r="26" spans="1:4" x14ac:dyDescent="0.4">
      <c r="A26" s="40" t="s">
        <v>786</v>
      </c>
      <c r="B26" s="40"/>
      <c r="C26" s="40"/>
      <c r="D26" s="40"/>
    </row>
    <row r="27" spans="1:4" ht="30" customHeight="1" x14ac:dyDescent="0.4">
      <c r="A27" s="10" t="s">
        <v>372</v>
      </c>
      <c r="B27" s="10" t="s">
        <v>49</v>
      </c>
      <c r="C27" s="10" t="s">
        <v>50</v>
      </c>
      <c r="D27" s="10" t="s">
        <v>373</v>
      </c>
    </row>
    <row r="28" spans="1:4" ht="13.5" customHeight="1" x14ac:dyDescent="0.4">
      <c r="A28" s="47" t="s">
        <v>720</v>
      </c>
      <c r="B28" s="43">
        <f>Economics!B21</f>
        <v>4.2072932771295539</v>
      </c>
      <c r="C28" s="57" t="s">
        <v>318</v>
      </c>
      <c r="D28" s="57" t="s">
        <v>787</v>
      </c>
    </row>
    <row r="29" spans="1:4" ht="13.5" customHeight="1" x14ac:dyDescent="0.4">
      <c r="A29" s="47" t="s">
        <v>788</v>
      </c>
      <c r="B29" s="45">
        <f>'Pit design'!$B$37-'Pit design'!$B$36</f>
        <v>0.58453501436740174</v>
      </c>
      <c r="C29" s="57" t="s">
        <v>318</v>
      </c>
      <c r="D29" s="57" t="s">
        <v>789</v>
      </c>
    </row>
    <row r="30" spans="1:4" ht="13.5" customHeight="1" x14ac:dyDescent="0.4">
      <c r="A30" s="47" t="s">
        <v>790</v>
      </c>
      <c r="B30" s="61">
        <f>B28-B29</f>
        <v>3.6227582627621522</v>
      </c>
      <c r="C30" s="57" t="s">
        <v>318</v>
      </c>
      <c r="D30" s="57" t="s">
        <v>791</v>
      </c>
    </row>
    <row r="31" spans="1:4" ht="13.5" customHeight="1" x14ac:dyDescent="0.4">
      <c r="A31" s="47" t="s">
        <v>792</v>
      </c>
      <c r="B31" s="51">
        <f>COUNTIF(Reserve!$H$6:$H$25,"&lt;="&amp;B28)</f>
        <v>16</v>
      </c>
      <c r="C31" s="57" t="s">
        <v>325</v>
      </c>
      <c r="D31" s="57" t="s">
        <v>793</v>
      </c>
    </row>
    <row r="32" spans="1:4" ht="13.5" customHeight="1" x14ac:dyDescent="0.4">
      <c r="A32" s="47" t="s">
        <v>794</v>
      </c>
      <c r="B32" s="72">
        <f>COUNTIF(Reserve!$H$6:$H$25,"&lt;="&amp;B30)</f>
        <v>15</v>
      </c>
      <c r="C32" s="57" t="s">
        <v>325</v>
      </c>
      <c r="D32" s="57" t="s">
        <v>795</v>
      </c>
    </row>
    <row r="33" spans="1:4" ht="13.5" customHeight="1" x14ac:dyDescent="0.4">
      <c r="A33" s="47" t="s">
        <v>796</v>
      </c>
      <c r="B33" s="51">
        <f>B31-B32</f>
        <v>1</v>
      </c>
      <c r="C33" s="57" t="s">
        <v>325</v>
      </c>
      <c r="D33" s="57"/>
    </row>
    <row r="35" spans="1:4" x14ac:dyDescent="0.4">
      <c r="A35" s="40" t="s">
        <v>797</v>
      </c>
      <c r="B35" s="40"/>
      <c r="C35" s="40"/>
      <c r="D35" s="40"/>
    </row>
    <row r="36" spans="1:4" ht="30" customHeight="1" x14ac:dyDescent="0.4">
      <c r="A36" s="10" t="s">
        <v>372</v>
      </c>
      <c r="B36" s="10" t="s">
        <v>49</v>
      </c>
      <c r="C36" s="10" t="s">
        <v>50</v>
      </c>
      <c r="D36" s="10" t="s">
        <v>373</v>
      </c>
    </row>
    <row r="37" spans="1:4" ht="13.5" customHeight="1" x14ac:dyDescent="0.4">
      <c r="A37" s="47" t="s">
        <v>798</v>
      </c>
      <c r="B37" s="42">
        <f>Inputs!$B$11/Inputs!$B$29</f>
        <v>1515.1515151515152</v>
      </c>
      <c r="C37" s="57" t="s">
        <v>799</v>
      </c>
      <c r="D37" s="57"/>
    </row>
    <row r="38" spans="1:4" ht="13.5" customHeight="1" x14ac:dyDescent="0.4">
      <c r="A38" s="47" t="s">
        <v>800</v>
      </c>
      <c r="B38" s="42">
        <f>Fleet!B27/Inputs!$B$29</f>
        <v>4441.0390939133758</v>
      </c>
      <c r="C38" s="57" t="s">
        <v>801</v>
      </c>
      <c r="D38" s="57" t="s">
        <v>802</v>
      </c>
    </row>
    <row r="39" spans="1:4" ht="13.5" customHeight="1" x14ac:dyDescent="0.4">
      <c r="A39" s="47" t="s">
        <v>803</v>
      </c>
      <c r="B39" s="42">
        <f>B38/Inputs!$B$30</f>
        <v>1480.346364637792</v>
      </c>
      <c r="C39" s="57" t="s">
        <v>804</v>
      </c>
      <c r="D39" s="57"/>
    </row>
    <row r="40" spans="1:4" ht="13.5" customHeight="1" x14ac:dyDescent="0.4">
      <c r="A40" s="47" t="s">
        <v>805</v>
      </c>
      <c r="B40" s="42">
        <f>(Fleet!B28+Fleet!C28)/Inputs!$B$29</f>
        <v>11285.437521760941</v>
      </c>
      <c r="C40" s="57" t="s">
        <v>799</v>
      </c>
      <c r="D40" s="57" t="s">
        <v>806</v>
      </c>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S49"/>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9140625" defaultRowHeight="14.6" x14ac:dyDescent="0.4"/>
  <cols>
    <col min="1" max="1" width="46" customWidth="1"/>
    <col min="2" max="2" width="18" customWidth="1"/>
    <col min="3" max="15" width="14" customWidth="1"/>
    <col min="16" max="16" width="12" customWidth="1"/>
    <col min="17" max="17" width="14" customWidth="1"/>
    <col min="18" max="18" width="16" customWidth="1"/>
    <col min="19" max="19" width="12" customWidth="1"/>
  </cols>
  <sheetData>
    <row r="1" spans="1:4" ht="17.25" customHeight="1" x14ac:dyDescent="0.4">
      <c r="A1" s="7" t="s">
        <v>807</v>
      </c>
    </row>
    <row r="2" spans="1:4" x14ac:dyDescent="0.4">
      <c r="A2" s="9" t="s">
        <v>808</v>
      </c>
    </row>
    <row r="4" spans="1:4" x14ac:dyDescent="0.4">
      <c r="A4" s="40" t="s">
        <v>809</v>
      </c>
      <c r="B4" s="40"/>
      <c r="C4" s="40"/>
      <c r="D4" s="40"/>
    </row>
    <row r="5" spans="1:4" ht="30" customHeight="1" x14ac:dyDescent="0.4">
      <c r="A5" s="10" t="s">
        <v>372</v>
      </c>
      <c r="B5" s="10" t="s">
        <v>49</v>
      </c>
      <c r="C5" s="10" t="s">
        <v>50</v>
      </c>
      <c r="D5" s="10" t="s">
        <v>373</v>
      </c>
    </row>
    <row r="6" spans="1:4" ht="13.5" customHeight="1" x14ac:dyDescent="0.4">
      <c r="A6" s="47" t="s">
        <v>782</v>
      </c>
      <c r="B6" s="68">
        <f>Fleet!B31</f>
        <v>2</v>
      </c>
      <c r="C6" s="57" t="s">
        <v>552</v>
      </c>
      <c r="D6" s="57" t="s">
        <v>810</v>
      </c>
    </row>
    <row r="7" spans="1:4" ht="13.5" customHeight="1" x14ac:dyDescent="0.4">
      <c r="A7" s="47" t="s">
        <v>783</v>
      </c>
      <c r="B7" s="68">
        <f>Fleet!B32</f>
        <v>7</v>
      </c>
      <c r="C7" s="57" t="s">
        <v>552</v>
      </c>
      <c r="D7" s="57"/>
    </row>
    <row r="8" spans="1:4" ht="13.5" customHeight="1" x14ac:dyDescent="0.4">
      <c r="A8" s="47" t="s">
        <v>811</v>
      </c>
      <c r="B8" s="43">
        <f>Inputs!$B$81</f>
        <v>4</v>
      </c>
      <c r="C8" s="57" t="s">
        <v>140</v>
      </c>
      <c r="D8" s="57"/>
    </row>
    <row r="9" spans="1:4" ht="13.5" customHeight="1" x14ac:dyDescent="0.4">
      <c r="A9" s="47" t="s">
        <v>812</v>
      </c>
      <c r="B9" s="43">
        <f>Inputs!$B$82</f>
        <v>2</v>
      </c>
      <c r="C9" s="57" t="s">
        <v>140</v>
      </c>
      <c r="D9" s="57"/>
    </row>
    <row r="10" spans="1:4" ht="13.5" customHeight="1" x14ac:dyDescent="0.4">
      <c r="A10" s="47" t="s">
        <v>784</v>
      </c>
      <c r="B10" s="61">
        <f>B6*B8+B7*B9</f>
        <v>22</v>
      </c>
      <c r="C10" s="57" t="s">
        <v>140</v>
      </c>
      <c r="D10" s="57" t="s">
        <v>813</v>
      </c>
    </row>
    <row r="11" spans="1:4" ht="13.5" customHeight="1" x14ac:dyDescent="0.4">
      <c r="A11" s="47" t="s">
        <v>814</v>
      </c>
      <c r="B11" s="43">
        <f>Inputs!$B$43</f>
        <v>10</v>
      </c>
      <c r="C11" s="57" t="s">
        <v>140</v>
      </c>
      <c r="D11" s="57" t="s">
        <v>815</v>
      </c>
    </row>
    <row r="12" spans="1:4" ht="13.5" customHeight="1" x14ac:dyDescent="0.4">
      <c r="A12" s="47" t="s">
        <v>816</v>
      </c>
      <c r="B12" s="61">
        <f>B10+B11</f>
        <v>32</v>
      </c>
      <c r="C12" s="57" t="s">
        <v>140</v>
      </c>
      <c r="D12" s="57"/>
    </row>
    <row r="13" spans="1:4" ht="13.5" customHeight="1" x14ac:dyDescent="0.4">
      <c r="A13" s="47" t="s">
        <v>229</v>
      </c>
      <c r="B13" s="43">
        <f>Inputs!$B$83</f>
        <v>0.25</v>
      </c>
      <c r="C13" s="57" t="s">
        <v>65</v>
      </c>
      <c r="D13" s="57"/>
    </row>
    <row r="14" spans="1:4" ht="13.5" customHeight="1" x14ac:dyDescent="0.4">
      <c r="A14" s="47" t="s">
        <v>817</v>
      </c>
      <c r="B14" s="46">
        <f>B13*(Economics!B22*(Economics!B7+Economics!B8)+Economics!B12+Economics!B13)</f>
        <v>70.621174091339171</v>
      </c>
      <c r="C14" s="57" t="s">
        <v>125</v>
      </c>
      <c r="D14" s="57" t="s">
        <v>818</v>
      </c>
    </row>
    <row r="15" spans="1:4" ht="13.5" customHeight="1" x14ac:dyDescent="0.4">
      <c r="A15" s="47" t="s">
        <v>819</v>
      </c>
      <c r="B15" s="92">
        <f>Economics!B25</f>
        <v>2055.0726994347556</v>
      </c>
      <c r="C15" s="57" t="s">
        <v>125</v>
      </c>
      <c r="D15" s="57"/>
    </row>
    <row r="16" spans="1:4" ht="13.5" customHeight="1" x14ac:dyDescent="0.4">
      <c r="A16" s="47" t="s">
        <v>820</v>
      </c>
      <c r="B16" s="93">
        <f>B15-B14</f>
        <v>1984.4515253434165</v>
      </c>
      <c r="C16" s="57" t="s">
        <v>125</v>
      </c>
      <c r="D16" s="57" t="s">
        <v>821</v>
      </c>
    </row>
    <row r="17" spans="1:19" ht="13.5" customHeight="1" x14ac:dyDescent="0.4">
      <c r="A17" s="47" t="s">
        <v>822</v>
      </c>
      <c r="B17" s="51">
        <f>ROUNDUP(Reserve!B40,0)</f>
        <v>4</v>
      </c>
      <c r="C17" s="57" t="s">
        <v>823</v>
      </c>
      <c r="D17" s="57" t="s">
        <v>824</v>
      </c>
    </row>
    <row r="18" spans="1:19" ht="13.5" customHeight="1" x14ac:dyDescent="0.4">
      <c r="A18" s="47" t="s">
        <v>231</v>
      </c>
      <c r="B18" s="68">
        <f>Inputs!$B$84</f>
        <v>1</v>
      </c>
      <c r="C18" s="112" t="str">
        <f>CHOOSE(B18,"Straight line","Written-down value","Units of production")</f>
        <v>Straight line</v>
      </c>
      <c r="D18" s="57" t="s">
        <v>825</v>
      </c>
    </row>
    <row r="19" spans="1:19" ht="13.5" customHeight="1" x14ac:dyDescent="0.4">
      <c r="A19" s="47" t="s">
        <v>826</v>
      </c>
      <c r="B19" s="91">
        <f>Inputs!$B$88</f>
        <v>0.25</v>
      </c>
      <c r="C19" s="57"/>
      <c r="D19" s="57" t="s">
        <v>827</v>
      </c>
    </row>
    <row r="20" spans="1:19" ht="13.5" customHeight="1" x14ac:dyDescent="0.4">
      <c r="A20" s="47" t="s">
        <v>142</v>
      </c>
      <c r="B20" s="91">
        <f>Inputs!$B$44</f>
        <v>0.1</v>
      </c>
      <c r="C20" s="57"/>
      <c r="D20" s="57"/>
    </row>
    <row r="22" spans="1:19" x14ac:dyDescent="0.4">
      <c r="A22" s="40" t="s">
        <v>828</v>
      </c>
      <c r="B22" s="40"/>
      <c r="C22" s="40"/>
      <c r="D22" s="40"/>
      <c r="E22" s="40"/>
      <c r="F22" s="40"/>
      <c r="G22" s="40"/>
      <c r="H22" s="40"/>
      <c r="I22" s="40"/>
      <c r="J22" s="40"/>
      <c r="K22" s="40"/>
      <c r="L22" s="40"/>
      <c r="M22" s="40"/>
      <c r="N22" s="40"/>
      <c r="O22" s="40"/>
      <c r="P22" s="40"/>
      <c r="Q22" s="40"/>
      <c r="R22" s="40"/>
      <c r="S22" s="40"/>
    </row>
    <row r="23" spans="1:19" ht="43.5" customHeight="1" x14ac:dyDescent="0.4">
      <c r="A23" s="10" t="s">
        <v>744</v>
      </c>
      <c r="B23" s="10" t="s">
        <v>746</v>
      </c>
      <c r="C23" s="10" t="s">
        <v>829</v>
      </c>
      <c r="D23" s="10" t="s">
        <v>830</v>
      </c>
      <c r="E23" s="10" t="s">
        <v>831</v>
      </c>
      <c r="F23" s="10" t="s">
        <v>832</v>
      </c>
      <c r="G23" s="10" t="s">
        <v>833</v>
      </c>
      <c r="H23" s="10" t="s">
        <v>834</v>
      </c>
      <c r="I23" s="10" t="s">
        <v>835</v>
      </c>
      <c r="J23" s="10" t="s">
        <v>836</v>
      </c>
      <c r="K23" s="10" t="s">
        <v>837</v>
      </c>
      <c r="L23" s="10" t="s">
        <v>838</v>
      </c>
      <c r="M23" s="10" t="s">
        <v>839</v>
      </c>
      <c r="N23" s="10" t="s">
        <v>840</v>
      </c>
      <c r="O23" s="10" t="s">
        <v>841</v>
      </c>
      <c r="P23" s="10" t="s">
        <v>751</v>
      </c>
      <c r="Q23" s="10" t="s">
        <v>842</v>
      </c>
      <c r="R23" s="10" t="s">
        <v>843</v>
      </c>
      <c r="S23" s="10" t="s">
        <v>844</v>
      </c>
    </row>
    <row r="24" spans="1:19" x14ac:dyDescent="0.4">
      <c r="A24" s="50">
        <v>0</v>
      </c>
      <c r="B24" s="59"/>
      <c r="C24" s="59"/>
      <c r="D24" s="59"/>
      <c r="E24" s="59"/>
      <c r="F24" s="59"/>
      <c r="G24" s="59"/>
      <c r="H24" s="59"/>
      <c r="I24" s="59"/>
      <c r="J24" s="59"/>
      <c r="K24" s="59"/>
      <c r="L24" s="59"/>
      <c r="M24" s="94">
        <f>B12</f>
        <v>32</v>
      </c>
      <c r="N24" s="94">
        <f>-M24</f>
        <v>-32</v>
      </c>
      <c r="O24" s="94">
        <f>-M24</f>
        <v>-32</v>
      </c>
      <c r="P24" s="48">
        <f t="shared" ref="P24:P34" si="0">1/(1+$B$20)^A24</f>
        <v>1</v>
      </c>
      <c r="Q24" s="94">
        <f t="shared" ref="Q24:Q34" si="1">O24*P24</f>
        <v>-32</v>
      </c>
      <c r="R24" s="94">
        <f>O24</f>
        <v>-32</v>
      </c>
      <c r="S24" s="59"/>
    </row>
    <row r="25" spans="1:19" ht="13.5" customHeight="1" x14ac:dyDescent="0.4">
      <c r="A25" s="50">
        <v>1</v>
      </c>
      <c r="B25" s="58">
        <f>'Cash flow'!C5</f>
        <v>500000</v>
      </c>
      <c r="C25" s="94">
        <f>B25*Economics!$B$19/10000000</f>
        <v>110</v>
      </c>
      <c r="D25" s="94">
        <f t="shared" ref="D25:D34" si="2">B25*$B$16/10000000</f>
        <v>99.222576267170822</v>
      </c>
      <c r="E25" s="94">
        <f t="shared" ref="E25:E34" si="3">C25-D25</f>
        <v>10.777423732829178</v>
      </c>
      <c r="F25" s="94">
        <f t="shared" ref="F25:F34" si="4">IF(A25&gt;$B$17,0,IF(A25=1,$B$10,H24))</f>
        <v>22</v>
      </c>
      <c r="G25" s="94">
        <f>IF(A25&gt;$B$17,0,CHOOSE($B$18,MIN(F25,$B$10/Inputs!$B$85),F25*Inputs!$B$86,IFERROR($B$10*B25/SUM($B$25:$B$34),0)))</f>
        <v>2.75</v>
      </c>
      <c r="H25" s="94">
        <f t="shared" ref="H25:H34" si="5">F25-G25</f>
        <v>19.25</v>
      </c>
      <c r="I25" s="94">
        <f>IF(A25=$B$17,Inputs!$B$87*H25,0)</f>
        <v>0</v>
      </c>
      <c r="J25" s="94">
        <f t="shared" ref="J25:J34" si="6">IF(A25=$B$17,H25-I25,0)</f>
        <v>0</v>
      </c>
      <c r="K25" s="94">
        <f t="shared" ref="K25:K34" si="7">E25-G25-J25</f>
        <v>8.0274237328291775</v>
      </c>
      <c r="L25" s="94">
        <f t="shared" ref="L25:L34" si="8">MAX(0,K25)*$B$19</f>
        <v>2.0068559332072944</v>
      </c>
      <c r="M25" s="59"/>
      <c r="N25" s="94">
        <f t="shared" ref="N25:N34" si="9">E25+I25</f>
        <v>10.777423732829178</v>
      </c>
      <c r="O25" s="94">
        <f t="shared" ref="O25:O34" si="10">E25-L25+I25</f>
        <v>8.7705677996218832</v>
      </c>
      <c r="P25" s="48">
        <f t="shared" si="0"/>
        <v>0.90909090909090906</v>
      </c>
      <c r="Q25" s="94">
        <f t="shared" si="1"/>
        <v>7.9732434542017119</v>
      </c>
      <c r="R25" s="94">
        <f t="shared" ref="R25:R34" si="11">R24+O25</f>
        <v>-23.229432200378117</v>
      </c>
      <c r="S25" s="45" t="str">
        <f t="shared" ref="S25:S34" si="12">IF(AND(R24&lt;0,R25&gt;=0),(A25-1)+(-R24)/O25,"")</f>
        <v/>
      </c>
    </row>
    <row r="26" spans="1:19" ht="13.5" customHeight="1" x14ac:dyDescent="0.4">
      <c r="A26" s="50">
        <v>2</v>
      </c>
      <c r="B26" s="58">
        <f>'Cash flow'!C6</f>
        <v>500000</v>
      </c>
      <c r="C26" s="94">
        <f>B26*Economics!$B$19/10000000</f>
        <v>110</v>
      </c>
      <c r="D26" s="94">
        <f t="shared" si="2"/>
        <v>99.222576267170822</v>
      </c>
      <c r="E26" s="94">
        <f t="shared" si="3"/>
        <v>10.777423732829178</v>
      </c>
      <c r="F26" s="94">
        <f t="shared" si="4"/>
        <v>19.25</v>
      </c>
      <c r="G26" s="94">
        <f>IF(A26&gt;$B$17,0,CHOOSE($B$18,MIN(F26,$B$10/Inputs!$B$85),F26*Inputs!$B$86,IFERROR($B$10*B26/SUM($B$25:$B$34),0)))</f>
        <v>2.75</v>
      </c>
      <c r="H26" s="94">
        <f t="shared" si="5"/>
        <v>16.5</v>
      </c>
      <c r="I26" s="94">
        <f>IF(A26=$B$17,Inputs!$B$87*H26,0)</f>
        <v>0</v>
      </c>
      <c r="J26" s="94">
        <f t="shared" si="6"/>
        <v>0</v>
      </c>
      <c r="K26" s="94">
        <f t="shared" si="7"/>
        <v>8.0274237328291775</v>
      </c>
      <c r="L26" s="94">
        <f t="shared" si="8"/>
        <v>2.0068559332072944</v>
      </c>
      <c r="M26" s="59"/>
      <c r="N26" s="94">
        <f t="shared" si="9"/>
        <v>10.777423732829178</v>
      </c>
      <c r="O26" s="94">
        <f t="shared" si="10"/>
        <v>8.7705677996218832</v>
      </c>
      <c r="P26" s="48">
        <f t="shared" si="0"/>
        <v>0.82644628099173545</v>
      </c>
      <c r="Q26" s="94">
        <f t="shared" si="1"/>
        <v>7.2484031401833739</v>
      </c>
      <c r="R26" s="94">
        <f t="shared" si="11"/>
        <v>-14.458864400756234</v>
      </c>
      <c r="S26" s="45" t="str">
        <f t="shared" si="12"/>
        <v/>
      </c>
    </row>
    <row r="27" spans="1:19" ht="13.5" customHeight="1" x14ac:dyDescent="0.4">
      <c r="A27" s="50">
        <v>3</v>
      </c>
      <c r="B27" s="58">
        <f>'Cash flow'!C7</f>
        <v>500000</v>
      </c>
      <c r="C27" s="94">
        <f>B27*Economics!$B$19/10000000</f>
        <v>110</v>
      </c>
      <c r="D27" s="94">
        <f t="shared" si="2"/>
        <v>99.222576267170822</v>
      </c>
      <c r="E27" s="94">
        <f t="shared" si="3"/>
        <v>10.777423732829178</v>
      </c>
      <c r="F27" s="94">
        <f t="shared" si="4"/>
        <v>16.5</v>
      </c>
      <c r="G27" s="94">
        <f>IF(A27&gt;$B$17,0,CHOOSE($B$18,MIN(F27,$B$10/Inputs!$B$85),F27*Inputs!$B$86,IFERROR($B$10*B27/SUM($B$25:$B$34),0)))</f>
        <v>2.75</v>
      </c>
      <c r="H27" s="94">
        <f t="shared" si="5"/>
        <v>13.75</v>
      </c>
      <c r="I27" s="94">
        <f>IF(A27=$B$17,Inputs!$B$87*H27,0)</f>
        <v>0</v>
      </c>
      <c r="J27" s="94">
        <f t="shared" si="6"/>
        <v>0</v>
      </c>
      <c r="K27" s="94">
        <f t="shared" si="7"/>
        <v>8.0274237328291775</v>
      </c>
      <c r="L27" s="94">
        <f t="shared" si="8"/>
        <v>2.0068559332072944</v>
      </c>
      <c r="M27" s="59"/>
      <c r="N27" s="94">
        <f t="shared" si="9"/>
        <v>10.777423732829178</v>
      </c>
      <c r="O27" s="94">
        <f t="shared" si="10"/>
        <v>8.7705677996218832</v>
      </c>
      <c r="P27" s="48">
        <f t="shared" si="0"/>
        <v>0.75131480090157754</v>
      </c>
      <c r="Q27" s="94">
        <f t="shared" si="1"/>
        <v>6.5894574001667019</v>
      </c>
      <c r="R27" s="94">
        <f t="shared" si="11"/>
        <v>-5.6882966011343505</v>
      </c>
      <c r="S27" s="45" t="str">
        <f t="shared" si="12"/>
        <v/>
      </c>
    </row>
    <row r="28" spans="1:19" ht="13.5" customHeight="1" x14ac:dyDescent="0.4">
      <c r="A28" s="50">
        <v>4</v>
      </c>
      <c r="B28" s="58">
        <f>'Cash flow'!C8</f>
        <v>193720</v>
      </c>
      <c r="C28" s="94">
        <f>B28*Economics!$B$19/10000000</f>
        <v>42.618400000000001</v>
      </c>
      <c r="D28" s="94">
        <f t="shared" si="2"/>
        <v>38.44279494895266</v>
      </c>
      <c r="E28" s="94">
        <f t="shared" si="3"/>
        <v>4.1756050510473415</v>
      </c>
      <c r="F28" s="94">
        <f t="shared" si="4"/>
        <v>13.75</v>
      </c>
      <c r="G28" s="94">
        <f>IF(A28&gt;$B$17,0,CHOOSE($B$18,MIN(F28,$B$10/Inputs!$B$85),F28*Inputs!$B$86,IFERROR($B$10*B28/SUM($B$25:$B$34),0)))</f>
        <v>2.75</v>
      </c>
      <c r="H28" s="94">
        <f t="shared" si="5"/>
        <v>11</v>
      </c>
      <c r="I28" s="94">
        <f>IF(A28=$B$17,Inputs!$B$87*H28,0)</f>
        <v>5.5</v>
      </c>
      <c r="J28" s="94">
        <f t="shared" si="6"/>
        <v>5.5</v>
      </c>
      <c r="K28" s="94">
        <f t="shared" si="7"/>
        <v>-4.0743949489526585</v>
      </c>
      <c r="L28" s="94">
        <f t="shared" si="8"/>
        <v>0</v>
      </c>
      <c r="M28" s="59"/>
      <c r="N28" s="94">
        <f t="shared" si="9"/>
        <v>9.6756050510473415</v>
      </c>
      <c r="O28" s="94">
        <f t="shared" si="10"/>
        <v>9.6756050510473415</v>
      </c>
      <c r="P28" s="48">
        <f t="shared" si="0"/>
        <v>0.68301345536507052</v>
      </c>
      <c r="Q28" s="94">
        <f t="shared" si="1"/>
        <v>6.6085684386635739</v>
      </c>
      <c r="R28" s="94">
        <f t="shared" si="11"/>
        <v>3.9873084499129909</v>
      </c>
      <c r="S28" s="45">
        <f t="shared" si="12"/>
        <v>3.5879008672970398</v>
      </c>
    </row>
    <row r="29" spans="1:19" ht="13.5" customHeight="1" x14ac:dyDescent="0.4">
      <c r="A29" s="50">
        <v>5</v>
      </c>
      <c r="B29" s="58">
        <f>'Cash flow'!C9</f>
        <v>0</v>
      </c>
      <c r="C29" s="94">
        <f>B29*Economics!$B$19/10000000</f>
        <v>0</v>
      </c>
      <c r="D29" s="94">
        <f t="shared" si="2"/>
        <v>0</v>
      </c>
      <c r="E29" s="94">
        <f t="shared" si="3"/>
        <v>0</v>
      </c>
      <c r="F29" s="94">
        <f t="shared" si="4"/>
        <v>0</v>
      </c>
      <c r="G29" s="94">
        <f>IF(A29&gt;$B$17,0,CHOOSE($B$18,MIN(F29,$B$10/Inputs!$B$85),F29*Inputs!$B$86,IFERROR($B$10*B29/SUM($B$25:$B$34),0)))</f>
        <v>0</v>
      </c>
      <c r="H29" s="94">
        <f t="shared" si="5"/>
        <v>0</v>
      </c>
      <c r="I29" s="94">
        <f>IF(A29=$B$17,Inputs!$B$87*H29,0)</f>
        <v>0</v>
      </c>
      <c r="J29" s="94">
        <f t="shared" si="6"/>
        <v>0</v>
      </c>
      <c r="K29" s="94">
        <f t="shared" si="7"/>
        <v>0</v>
      </c>
      <c r="L29" s="94">
        <f t="shared" si="8"/>
        <v>0</v>
      </c>
      <c r="M29" s="59"/>
      <c r="N29" s="94">
        <f t="shared" si="9"/>
        <v>0</v>
      </c>
      <c r="O29" s="94">
        <f t="shared" si="10"/>
        <v>0</v>
      </c>
      <c r="P29" s="48">
        <f t="shared" si="0"/>
        <v>0.62092132305915493</v>
      </c>
      <c r="Q29" s="94">
        <f t="shared" si="1"/>
        <v>0</v>
      </c>
      <c r="R29" s="94">
        <f t="shared" si="11"/>
        <v>3.9873084499129909</v>
      </c>
      <c r="S29" s="45" t="str">
        <f t="shared" si="12"/>
        <v/>
      </c>
    </row>
    <row r="30" spans="1:19" ht="13.5" customHeight="1" x14ac:dyDescent="0.4">
      <c r="A30" s="50">
        <v>6</v>
      </c>
      <c r="B30" s="58">
        <f>'Cash flow'!C10</f>
        <v>0</v>
      </c>
      <c r="C30" s="94">
        <f>B30*Economics!$B$19/10000000</f>
        <v>0</v>
      </c>
      <c r="D30" s="94">
        <f t="shared" si="2"/>
        <v>0</v>
      </c>
      <c r="E30" s="94">
        <f t="shared" si="3"/>
        <v>0</v>
      </c>
      <c r="F30" s="94">
        <f t="shared" si="4"/>
        <v>0</v>
      </c>
      <c r="G30" s="94">
        <f>IF(A30&gt;$B$17,0,CHOOSE($B$18,MIN(F30,$B$10/Inputs!$B$85),F30*Inputs!$B$86,IFERROR($B$10*B30/SUM($B$25:$B$34),0)))</f>
        <v>0</v>
      </c>
      <c r="H30" s="94">
        <f t="shared" si="5"/>
        <v>0</v>
      </c>
      <c r="I30" s="94">
        <f>IF(A30=$B$17,Inputs!$B$87*H30,0)</f>
        <v>0</v>
      </c>
      <c r="J30" s="94">
        <f t="shared" si="6"/>
        <v>0</v>
      </c>
      <c r="K30" s="94">
        <f t="shared" si="7"/>
        <v>0</v>
      </c>
      <c r="L30" s="94">
        <f t="shared" si="8"/>
        <v>0</v>
      </c>
      <c r="M30" s="59"/>
      <c r="N30" s="94">
        <f t="shared" si="9"/>
        <v>0</v>
      </c>
      <c r="O30" s="94">
        <f t="shared" si="10"/>
        <v>0</v>
      </c>
      <c r="P30" s="48">
        <f t="shared" si="0"/>
        <v>0.56447393005377722</v>
      </c>
      <c r="Q30" s="94">
        <f t="shared" si="1"/>
        <v>0</v>
      </c>
      <c r="R30" s="94">
        <f t="shared" si="11"/>
        <v>3.9873084499129909</v>
      </c>
      <c r="S30" s="45" t="str">
        <f t="shared" si="12"/>
        <v/>
      </c>
    </row>
    <row r="31" spans="1:19" ht="13.5" customHeight="1" x14ac:dyDescent="0.4">
      <c r="A31" s="50">
        <v>7</v>
      </c>
      <c r="B31" s="58">
        <f>'Cash flow'!C11</f>
        <v>0</v>
      </c>
      <c r="C31" s="94">
        <f>B31*Economics!$B$19/10000000</f>
        <v>0</v>
      </c>
      <c r="D31" s="94">
        <f t="shared" si="2"/>
        <v>0</v>
      </c>
      <c r="E31" s="94">
        <f t="shared" si="3"/>
        <v>0</v>
      </c>
      <c r="F31" s="94">
        <f t="shared" si="4"/>
        <v>0</v>
      </c>
      <c r="G31" s="94">
        <f>IF(A31&gt;$B$17,0,CHOOSE($B$18,MIN(F31,$B$10/Inputs!$B$85),F31*Inputs!$B$86,IFERROR($B$10*B31/SUM($B$25:$B$34),0)))</f>
        <v>0</v>
      </c>
      <c r="H31" s="94">
        <f t="shared" si="5"/>
        <v>0</v>
      </c>
      <c r="I31" s="94">
        <f>IF(A31=$B$17,Inputs!$B$87*H31,0)</f>
        <v>0</v>
      </c>
      <c r="J31" s="94">
        <f t="shared" si="6"/>
        <v>0</v>
      </c>
      <c r="K31" s="94">
        <f t="shared" si="7"/>
        <v>0</v>
      </c>
      <c r="L31" s="94">
        <f t="shared" si="8"/>
        <v>0</v>
      </c>
      <c r="M31" s="59"/>
      <c r="N31" s="94">
        <f t="shared" si="9"/>
        <v>0</v>
      </c>
      <c r="O31" s="94">
        <f t="shared" si="10"/>
        <v>0</v>
      </c>
      <c r="P31" s="48">
        <f t="shared" si="0"/>
        <v>0.51315811823070645</v>
      </c>
      <c r="Q31" s="94">
        <f t="shared" si="1"/>
        <v>0</v>
      </c>
      <c r="R31" s="94">
        <f t="shared" si="11"/>
        <v>3.9873084499129909</v>
      </c>
      <c r="S31" s="45" t="str">
        <f t="shared" si="12"/>
        <v/>
      </c>
    </row>
    <row r="32" spans="1:19" ht="13.5" customHeight="1" x14ac:dyDescent="0.4">
      <c r="A32" s="50">
        <v>8</v>
      </c>
      <c r="B32" s="58">
        <f>'Cash flow'!C12</f>
        <v>0</v>
      </c>
      <c r="C32" s="94">
        <f>B32*Economics!$B$19/10000000</f>
        <v>0</v>
      </c>
      <c r="D32" s="94">
        <f t="shared" si="2"/>
        <v>0</v>
      </c>
      <c r="E32" s="94">
        <f t="shared" si="3"/>
        <v>0</v>
      </c>
      <c r="F32" s="94">
        <f t="shared" si="4"/>
        <v>0</v>
      </c>
      <c r="G32" s="94">
        <f>IF(A32&gt;$B$17,0,CHOOSE($B$18,MIN(F32,$B$10/Inputs!$B$85),F32*Inputs!$B$86,IFERROR($B$10*B32/SUM($B$25:$B$34),0)))</f>
        <v>0</v>
      </c>
      <c r="H32" s="94">
        <f t="shared" si="5"/>
        <v>0</v>
      </c>
      <c r="I32" s="94">
        <f>IF(A32=$B$17,Inputs!$B$87*H32,0)</f>
        <v>0</v>
      </c>
      <c r="J32" s="94">
        <f t="shared" si="6"/>
        <v>0</v>
      </c>
      <c r="K32" s="94">
        <f t="shared" si="7"/>
        <v>0</v>
      </c>
      <c r="L32" s="94">
        <f t="shared" si="8"/>
        <v>0</v>
      </c>
      <c r="M32" s="59"/>
      <c r="N32" s="94">
        <f t="shared" si="9"/>
        <v>0</v>
      </c>
      <c r="O32" s="94">
        <f t="shared" si="10"/>
        <v>0</v>
      </c>
      <c r="P32" s="48">
        <f t="shared" si="0"/>
        <v>0.46650738020973315</v>
      </c>
      <c r="Q32" s="94">
        <f t="shared" si="1"/>
        <v>0</v>
      </c>
      <c r="R32" s="94">
        <f t="shared" si="11"/>
        <v>3.9873084499129909</v>
      </c>
      <c r="S32" s="45" t="str">
        <f t="shared" si="12"/>
        <v/>
      </c>
    </row>
    <row r="33" spans="1:19" ht="13.5" customHeight="1" x14ac:dyDescent="0.4">
      <c r="A33" s="50">
        <v>9</v>
      </c>
      <c r="B33" s="58">
        <f>'Cash flow'!C13</f>
        <v>0</v>
      </c>
      <c r="C33" s="94">
        <f>B33*Economics!$B$19/10000000</f>
        <v>0</v>
      </c>
      <c r="D33" s="94">
        <f t="shared" si="2"/>
        <v>0</v>
      </c>
      <c r="E33" s="94">
        <f t="shared" si="3"/>
        <v>0</v>
      </c>
      <c r="F33" s="94">
        <f t="shared" si="4"/>
        <v>0</v>
      </c>
      <c r="G33" s="94">
        <f>IF(A33&gt;$B$17,0,CHOOSE($B$18,MIN(F33,$B$10/Inputs!$B$85),F33*Inputs!$B$86,IFERROR($B$10*B33/SUM($B$25:$B$34),0)))</f>
        <v>0</v>
      </c>
      <c r="H33" s="94">
        <f t="shared" si="5"/>
        <v>0</v>
      </c>
      <c r="I33" s="94">
        <f>IF(A33=$B$17,Inputs!$B$87*H33,0)</f>
        <v>0</v>
      </c>
      <c r="J33" s="94">
        <f t="shared" si="6"/>
        <v>0</v>
      </c>
      <c r="K33" s="94">
        <f t="shared" si="7"/>
        <v>0</v>
      </c>
      <c r="L33" s="94">
        <f t="shared" si="8"/>
        <v>0</v>
      </c>
      <c r="M33" s="59"/>
      <c r="N33" s="94">
        <f t="shared" si="9"/>
        <v>0</v>
      </c>
      <c r="O33" s="94">
        <f t="shared" si="10"/>
        <v>0</v>
      </c>
      <c r="P33" s="48">
        <f t="shared" si="0"/>
        <v>0.42409761837248466</v>
      </c>
      <c r="Q33" s="94">
        <f t="shared" si="1"/>
        <v>0</v>
      </c>
      <c r="R33" s="94">
        <f t="shared" si="11"/>
        <v>3.9873084499129909</v>
      </c>
      <c r="S33" s="45" t="str">
        <f t="shared" si="12"/>
        <v/>
      </c>
    </row>
    <row r="34" spans="1:19" ht="13.5" customHeight="1" x14ac:dyDescent="0.4">
      <c r="A34" s="50">
        <v>10</v>
      </c>
      <c r="B34" s="58">
        <f>'Cash flow'!C14</f>
        <v>0</v>
      </c>
      <c r="C34" s="94">
        <f>B34*Economics!$B$19/10000000</f>
        <v>0</v>
      </c>
      <c r="D34" s="94">
        <f t="shared" si="2"/>
        <v>0</v>
      </c>
      <c r="E34" s="94">
        <f t="shared" si="3"/>
        <v>0</v>
      </c>
      <c r="F34" s="94">
        <f t="shared" si="4"/>
        <v>0</v>
      </c>
      <c r="G34" s="94">
        <f>IF(A34&gt;$B$17,0,CHOOSE($B$18,MIN(F34,$B$10/Inputs!$B$85),F34*Inputs!$B$86,IFERROR($B$10*B34/SUM($B$25:$B$34),0)))</f>
        <v>0</v>
      </c>
      <c r="H34" s="94">
        <f t="shared" si="5"/>
        <v>0</v>
      </c>
      <c r="I34" s="94">
        <f>IF(A34=$B$17,Inputs!$B$87*H34,0)</f>
        <v>0</v>
      </c>
      <c r="J34" s="94">
        <f t="shared" si="6"/>
        <v>0</v>
      </c>
      <c r="K34" s="94">
        <f t="shared" si="7"/>
        <v>0</v>
      </c>
      <c r="L34" s="94">
        <f t="shared" si="8"/>
        <v>0</v>
      </c>
      <c r="M34" s="59"/>
      <c r="N34" s="94">
        <f t="shared" si="9"/>
        <v>0</v>
      </c>
      <c r="O34" s="94">
        <f t="shared" si="10"/>
        <v>0</v>
      </c>
      <c r="P34" s="48">
        <f t="shared" si="0"/>
        <v>0.38554328942953148</v>
      </c>
      <c r="Q34" s="94">
        <f t="shared" si="1"/>
        <v>0</v>
      </c>
      <c r="R34" s="94">
        <f t="shared" si="11"/>
        <v>3.9873084499129909</v>
      </c>
      <c r="S34" s="45" t="str">
        <f t="shared" si="12"/>
        <v/>
      </c>
    </row>
    <row r="35" spans="1:19" x14ac:dyDescent="0.4">
      <c r="A35" s="53" t="s">
        <v>363</v>
      </c>
      <c r="B35" s="66">
        <f>SUM(B24:B34)</f>
        <v>1693720</v>
      </c>
      <c r="C35" s="113">
        <f>SUM(C24:C34)</f>
        <v>372.61840000000001</v>
      </c>
      <c r="D35" s="113">
        <f>SUM(D24:D34)</f>
        <v>336.11052375046512</v>
      </c>
      <c r="E35" s="113">
        <f>SUM(E24:E34)</f>
        <v>36.507876249534874</v>
      </c>
      <c r="F35" s="54"/>
      <c r="G35" s="113">
        <f>SUM(G24:G34)</f>
        <v>11</v>
      </c>
      <c r="H35" s="54"/>
      <c r="I35" s="113">
        <f t="shared" ref="I35:O35" si="13">SUM(I24:I34)</f>
        <v>5.5</v>
      </c>
      <c r="J35" s="113">
        <f t="shared" si="13"/>
        <v>5.5</v>
      </c>
      <c r="K35" s="113">
        <f t="shared" si="13"/>
        <v>20.007876249534874</v>
      </c>
      <c r="L35" s="113">
        <f t="shared" si="13"/>
        <v>6.0205677996218832</v>
      </c>
      <c r="M35" s="113">
        <f t="shared" si="13"/>
        <v>32</v>
      </c>
      <c r="N35" s="113">
        <f t="shared" si="13"/>
        <v>10.007876249534874</v>
      </c>
      <c r="O35" s="113">
        <f t="shared" si="13"/>
        <v>3.9873084499129909</v>
      </c>
      <c r="P35" s="54"/>
      <c r="Q35" s="113">
        <f>SUM(Q24:Q34)</f>
        <v>-3.5803275667846401</v>
      </c>
      <c r="R35" s="54"/>
      <c r="S35" s="54"/>
    </row>
    <row r="36" spans="1:19" x14ac:dyDescent="0.4">
      <c r="A36" s="9" t="s">
        <v>845</v>
      </c>
    </row>
    <row r="38" spans="1:19" x14ac:dyDescent="0.4">
      <c r="A38" s="40" t="s">
        <v>846</v>
      </c>
      <c r="B38" s="40"/>
      <c r="C38" s="40"/>
      <c r="D38" s="40"/>
    </row>
    <row r="39" spans="1:19" ht="30" customHeight="1" x14ac:dyDescent="0.4">
      <c r="A39" s="10" t="s">
        <v>372</v>
      </c>
      <c r="B39" s="10" t="s">
        <v>49</v>
      </c>
      <c r="C39" s="10" t="s">
        <v>50</v>
      </c>
      <c r="D39" s="10" t="s">
        <v>373</v>
      </c>
    </row>
    <row r="40" spans="1:19" ht="13.5" customHeight="1" x14ac:dyDescent="0.4">
      <c r="A40" s="47" t="s">
        <v>847</v>
      </c>
      <c r="B40" s="114">
        <f>SUM(Q24:Q34)</f>
        <v>-3.5803275667846401</v>
      </c>
      <c r="C40" s="57" t="s">
        <v>140</v>
      </c>
      <c r="D40" s="57" t="s">
        <v>848</v>
      </c>
    </row>
    <row r="41" spans="1:19" ht="13.5" customHeight="1" x14ac:dyDescent="0.4">
      <c r="A41" s="47" t="s">
        <v>849</v>
      </c>
      <c r="B41" s="94">
        <f>NPV(B20,O25:O34)+O24</f>
        <v>-3.5803275667846393</v>
      </c>
      <c r="C41" s="57" t="s">
        <v>140</v>
      </c>
      <c r="D41" s="57" t="s">
        <v>850</v>
      </c>
    </row>
    <row r="42" spans="1:19" ht="13.5" customHeight="1" x14ac:dyDescent="0.4">
      <c r="A42" s="47" t="s">
        <v>851</v>
      </c>
      <c r="B42" s="94">
        <f>SUMPRODUCT(N24:N34,P24:P34)</f>
        <v>1.4104261063304202</v>
      </c>
      <c r="C42" s="57" t="s">
        <v>140</v>
      </c>
      <c r="D42" s="57" t="s">
        <v>852</v>
      </c>
    </row>
    <row r="43" spans="1:19" ht="13.5" customHeight="1" x14ac:dyDescent="0.4">
      <c r="A43" s="47" t="s">
        <v>853</v>
      </c>
      <c r="B43" s="115">
        <f>'Cash flow'!B19</f>
        <v>9.9382192025494476</v>
      </c>
      <c r="C43" s="57" t="s">
        <v>140</v>
      </c>
      <c r="D43" s="57" t="s">
        <v>854</v>
      </c>
    </row>
    <row r="44" spans="1:19" ht="13.5" customHeight="1" x14ac:dyDescent="0.4">
      <c r="A44" s="47" t="s">
        <v>855</v>
      </c>
      <c r="B44" s="116">
        <f>IFERROR(IRR(O24:O34),"n/a")</f>
        <v>4.793796124501104E-2</v>
      </c>
      <c r="C44" s="57" t="s">
        <v>192</v>
      </c>
      <c r="D44" s="57" t="s">
        <v>856</v>
      </c>
    </row>
    <row r="45" spans="1:19" ht="13.5" customHeight="1" x14ac:dyDescent="0.4">
      <c r="A45" s="47" t="s">
        <v>857</v>
      </c>
      <c r="B45" s="62">
        <f>IFERROR(IRR(N24:N34),"n/a")</f>
        <v>0.12052084283499376</v>
      </c>
      <c r="C45" s="57" t="s">
        <v>192</v>
      </c>
      <c r="D45" s="57"/>
    </row>
    <row r="46" spans="1:19" ht="13.5" customHeight="1" x14ac:dyDescent="0.4">
      <c r="A46" s="47" t="s">
        <v>858</v>
      </c>
      <c r="B46" s="61">
        <f>IF(COUNT(S25:S34)=0,"Not recovered",MIN(S25:S34))</f>
        <v>3.5879008672970398</v>
      </c>
      <c r="C46" s="57" t="s">
        <v>196</v>
      </c>
      <c r="D46" s="57" t="s">
        <v>859</v>
      </c>
    </row>
    <row r="47" spans="1:19" ht="13.5" customHeight="1" x14ac:dyDescent="0.4">
      <c r="A47" s="47" t="s">
        <v>860</v>
      </c>
      <c r="B47" s="45">
        <f>IFERROR(SUM(Q25:Q34)/B12,0)</f>
        <v>0.88811476353798002</v>
      </c>
      <c r="C47" s="57" t="s">
        <v>189</v>
      </c>
      <c r="D47" s="57" t="s">
        <v>861</v>
      </c>
    </row>
    <row r="48" spans="1:19" ht="13.5" customHeight="1" x14ac:dyDescent="0.4">
      <c r="A48" s="47" t="s">
        <v>862</v>
      </c>
      <c r="B48" s="94">
        <f>L35</f>
        <v>6.0205677996218832</v>
      </c>
      <c r="C48" s="57" t="s">
        <v>140</v>
      </c>
      <c r="D48" s="57"/>
    </row>
    <row r="49" spans="1:4" ht="13.5" customHeight="1" x14ac:dyDescent="0.4">
      <c r="A49" s="47" t="s">
        <v>863</v>
      </c>
      <c r="B49" s="94">
        <f>SUMPRODUCT(G25:G34,P25:P34)*B19</f>
        <v>2.1792824943651388</v>
      </c>
      <c r="C49" s="57" t="s">
        <v>140</v>
      </c>
      <c r="D49" s="57" t="s">
        <v>864</v>
      </c>
    </row>
  </sheetData>
  <pageMargins left="0.75" right="0.75" top="1" bottom="1" header="0.511811023622047" footer="0.511811023622047"/>
  <pageSetup fitToHeight="0"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70"/>
  <sheetViews>
    <sheetView showGridLines="0" tabSelected="1" zoomScaleNormal="100" workbookViewId="0"/>
  </sheetViews>
  <sheetFormatPr defaultColWidth="8.69140625" defaultRowHeight="14.6" x14ac:dyDescent="0.4"/>
  <cols>
    <col min="1" max="1" width="42" customWidth="1"/>
    <col min="2" max="2" width="18" customWidth="1"/>
    <col min="3" max="3" width="12" customWidth="1"/>
    <col min="4" max="4" width="62" customWidth="1"/>
  </cols>
  <sheetData>
    <row r="1" spans="1:4" ht="17.25" customHeight="1" x14ac:dyDescent="0.4">
      <c r="A1" s="7" t="s">
        <v>865</v>
      </c>
      <c r="B1" s="8"/>
      <c r="C1" s="8"/>
      <c r="D1" s="8"/>
    </row>
    <row r="2" spans="1:4" ht="15" customHeight="1" x14ac:dyDescent="0.4">
      <c r="A2" s="9" t="s">
        <v>866</v>
      </c>
      <c r="B2" s="8"/>
      <c r="C2" s="8"/>
      <c r="D2" s="8"/>
    </row>
    <row r="3" spans="1:4" ht="15" customHeight="1" x14ac:dyDescent="0.4">
      <c r="A3" s="8"/>
      <c r="B3" s="8"/>
      <c r="C3" s="8"/>
      <c r="D3" s="8"/>
    </row>
    <row r="4" spans="1:4" ht="30" customHeight="1" x14ac:dyDescent="0.4">
      <c r="A4" s="10" t="s">
        <v>867</v>
      </c>
      <c r="B4" s="10" t="s">
        <v>49</v>
      </c>
      <c r="C4" s="10" t="s">
        <v>50</v>
      </c>
      <c r="D4" s="10" t="s">
        <v>868</v>
      </c>
    </row>
    <row r="5" spans="1:4" ht="15" customHeight="1" x14ac:dyDescent="0.4">
      <c r="A5" s="11" t="s">
        <v>869</v>
      </c>
      <c r="B5" s="12"/>
      <c r="C5" s="12"/>
      <c r="D5" s="12"/>
    </row>
    <row r="6" spans="1:4" ht="15" customHeight="1" x14ac:dyDescent="0.4">
      <c r="A6" s="13" t="s">
        <v>313</v>
      </c>
      <c r="B6" s="117">
        <f>Reserve!$B$29/1000000</f>
        <v>2.2050000000000001</v>
      </c>
      <c r="C6" s="15" t="s">
        <v>761</v>
      </c>
      <c r="D6" s="16" t="s">
        <v>870</v>
      </c>
    </row>
    <row r="7" spans="1:4" ht="15" customHeight="1" x14ac:dyDescent="0.4">
      <c r="A7" s="13" t="s">
        <v>333</v>
      </c>
      <c r="B7" s="117">
        <f>Reserve!$B$39/1000000</f>
        <v>1.6937199999999999</v>
      </c>
      <c r="C7" s="15" t="s">
        <v>761</v>
      </c>
      <c r="D7" s="16" t="s">
        <v>871</v>
      </c>
    </row>
    <row r="8" spans="1:4" ht="15" customHeight="1" x14ac:dyDescent="0.4">
      <c r="A8" s="13" t="s">
        <v>872</v>
      </c>
      <c r="B8" s="117">
        <f>Reserve!$B$31</f>
        <v>2.7709750566893425</v>
      </c>
      <c r="C8" s="15" t="s">
        <v>318</v>
      </c>
      <c r="D8" s="16" t="s">
        <v>873</v>
      </c>
    </row>
    <row r="9" spans="1:4" ht="15" customHeight="1" x14ac:dyDescent="0.4">
      <c r="A9" s="13" t="s">
        <v>874</v>
      </c>
      <c r="B9" s="118">
        <f>Reserve!$B$35</f>
        <v>16</v>
      </c>
      <c r="C9" s="15" t="s">
        <v>875</v>
      </c>
      <c r="D9" s="16" t="s">
        <v>876</v>
      </c>
    </row>
    <row r="10" spans="1:4" ht="15" customHeight="1" x14ac:dyDescent="0.4">
      <c r="A10" s="13" t="s">
        <v>331</v>
      </c>
      <c r="B10" s="117">
        <f>Reserve!$B$38</f>
        <v>2.9310858019828281</v>
      </c>
      <c r="C10" s="15" t="s">
        <v>318</v>
      </c>
      <c r="D10" s="16" t="s">
        <v>877</v>
      </c>
    </row>
    <row r="11" spans="1:4" ht="15" customHeight="1" x14ac:dyDescent="0.4">
      <c r="A11" s="13" t="s">
        <v>780</v>
      </c>
      <c r="B11" s="119">
        <f>Reserve!$B$40</f>
        <v>3.3874399999999998</v>
      </c>
      <c r="C11" s="15" t="s">
        <v>196</v>
      </c>
      <c r="D11" s="16" t="s">
        <v>878</v>
      </c>
    </row>
    <row r="12" spans="1:4" ht="15" customHeight="1" x14ac:dyDescent="0.4">
      <c r="A12" s="11" t="s">
        <v>879</v>
      </c>
      <c r="B12" s="12"/>
      <c r="C12" s="12"/>
      <c r="D12" s="12"/>
    </row>
    <row r="13" spans="1:4" ht="15" customHeight="1" x14ac:dyDescent="0.4">
      <c r="A13" s="13" t="s">
        <v>782</v>
      </c>
      <c r="B13" s="118">
        <f>Fleet!$B$31</f>
        <v>2</v>
      </c>
      <c r="C13" s="15" t="s">
        <v>552</v>
      </c>
      <c r="D13" s="16" t="s">
        <v>880</v>
      </c>
    </row>
    <row r="14" spans="1:4" ht="15" customHeight="1" x14ac:dyDescent="0.4">
      <c r="A14" s="13" t="s">
        <v>783</v>
      </c>
      <c r="B14" s="118">
        <f>Fleet!$B$32</f>
        <v>7</v>
      </c>
      <c r="C14" s="15" t="s">
        <v>552</v>
      </c>
      <c r="D14" s="16" t="s">
        <v>881</v>
      </c>
    </row>
    <row r="15" spans="1:4" ht="15" customHeight="1" x14ac:dyDescent="0.4">
      <c r="A15" s="11" t="s">
        <v>882</v>
      </c>
      <c r="B15" s="12"/>
      <c r="C15" s="12"/>
      <c r="D15" s="12"/>
    </row>
    <row r="16" spans="1:4" ht="15" customHeight="1" x14ac:dyDescent="0.4">
      <c r="A16" s="13" t="s">
        <v>705</v>
      </c>
      <c r="B16" s="120">
        <f>Economics!$B$9</f>
        <v>113.56092436974791</v>
      </c>
      <c r="C16" s="15" t="s">
        <v>122</v>
      </c>
      <c r="D16" s="16" t="s">
        <v>883</v>
      </c>
    </row>
    <row r="17" spans="1:4" ht="15" customHeight="1" x14ac:dyDescent="0.4">
      <c r="A17" s="13" t="s">
        <v>884</v>
      </c>
      <c r="B17" s="121">
        <f>Economics!$B$17</f>
        <v>1722.2158863545419</v>
      </c>
      <c r="C17" s="15" t="s">
        <v>125</v>
      </c>
      <c r="D17" s="16" t="s">
        <v>885</v>
      </c>
    </row>
    <row r="18" spans="1:4" ht="15" customHeight="1" x14ac:dyDescent="0.4">
      <c r="A18" s="13" t="s">
        <v>720</v>
      </c>
      <c r="B18" s="117">
        <f>Economics!$B$21</f>
        <v>4.2072932771295539</v>
      </c>
      <c r="C18" s="15" t="s">
        <v>318</v>
      </c>
      <c r="D18" s="16" t="s">
        <v>886</v>
      </c>
    </row>
    <row r="19" spans="1:4" ht="15" customHeight="1" x14ac:dyDescent="0.4">
      <c r="A19" s="13" t="s">
        <v>887</v>
      </c>
      <c r="B19" s="121">
        <f>Economics!$B$25</f>
        <v>2055.0726994347556</v>
      </c>
      <c r="C19" s="15" t="s">
        <v>125</v>
      </c>
      <c r="D19" s="16" t="s">
        <v>888</v>
      </c>
    </row>
    <row r="20" spans="1:4" ht="15" customHeight="1" x14ac:dyDescent="0.4">
      <c r="A20" s="13" t="s">
        <v>137</v>
      </c>
      <c r="B20" s="121">
        <f>Economics!$B$19</f>
        <v>2200</v>
      </c>
      <c r="C20" s="15" t="s">
        <v>125</v>
      </c>
      <c r="D20" s="16" t="s">
        <v>889</v>
      </c>
    </row>
    <row r="21" spans="1:4" ht="15" customHeight="1" x14ac:dyDescent="0.4">
      <c r="A21" s="13" t="s">
        <v>729</v>
      </c>
      <c r="B21" s="121">
        <f>Economics!$B$26</f>
        <v>144.92730056524442</v>
      </c>
      <c r="C21" s="15" t="s">
        <v>125</v>
      </c>
      <c r="D21" s="16" t="s">
        <v>890</v>
      </c>
    </row>
    <row r="22" spans="1:4" ht="15" customHeight="1" x14ac:dyDescent="0.4">
      <c r="A22" s="13" t="s">
        <v>737</v>
      </c>
      <c r="B22" s="119">
        <f>Economics!$B$31</f>
        <v>7.2463650282622183</v>
      </c>
      <c r="C22" s="15" t="s">
        <v>140</v>
      </c>
      <c r="D22" s="16" t="s">
        <v>891</v>
      </c>
    </row>
    <row r="23" spans="1:4" ht="15" customHeight="1" x14ac:dyDescent="0.4">
      <c r="A23" s="13" t="s">
        <v>892</v>
      </c>
      <c r="B23" s="119">
        <f>Economics!$B$34</f>
        <v>9.9382192025494476</v>
      </c>
      <c r="C23" s="15" t="s">
        <v>140</v>
      </c>
      <c r="D23" s="16" t="s">
        <v>893</v>
      </c>
    </row>
    <row r="24" spans="1:4" ht="15" customHeight="1" x14ac:dyDescent="0.4">
      <c r="A24" s="13" t="s">
        <v>477</v>
      </c>
      <c r="B24" s="122" t="str">
        <f>Economics!$B$23</f>
        <v>Viable on average</v>
      </c>
      <c r="C24" s="15"/>
      <c r="D24" s="16" t="s">
        <v>894</v>
      </c>
    </row>
    <row r="25" spans="1:4" ht="15" customHeight="1" x14ac:dyDescent="0.4">
      <c r="A25" s="8"/>
      <c r="B25" s="8"/>
      <c r="C25" s="8"/>
      <c r="D25" s="8"/>
    </row>
    <row r="26" spans="1:4" x14ac:dyDescent="0.4">
      <c r="A26" s="11" t="s">
        <v>895</v>
      </c>
      <c r="B26" s="12"/>
      <c r="C26" s="12"/>
      <c r="D26" s="12"/>
    </row>
    <row r="27" spans="1:4" ht="15" customHeight="1" x14ac:dyDescent="0.4">
      <c r="A27" s="13" t="s">
        <v>896</v>
      </c>
      <c r="B27" s="117">
        <f>Geostatistics!B73</f>
        <v>8.3934294111074159</v>
      </c>
      <c r="C27" s="15" t="s">
        <v>54</v>
      </c>
      <c r="D27" s="16" t="s">
        <v>897</v>
      </c>
    </row>
    <row r="28" spans="1:4" ht="15" customHeight="1" x14ac:dyDescent="0.4">
      <c r="A28" s="13" t="s">
        <v>397</v>
      </c>
      <c r="B28" s="117">
        <f>Geostatistics!B76</f>
        <v>0.70141365837100589</v>
      </c>
      <c r="C28" s="15" t="s">
        <v>54</v>
      </c>
      <c r="D28" s="16" t="s">
        <v>898</v>
      </c>
    </row>
    <row r="29" spans="1:4" ht="15" customHeight="1" x14ac:dyDescent="0.4">
      <c r="A29" s="13" t="s">
        <v>899</v>
      </c>
      <c r="B29" s="123">
        <f>Geostatistics!B77</f>
        <v>8.3566993181927826E-2</v>
      </c>
      <c r="C29" s="15" t="s">
        <v>192</v>
      </c>
      <c r="D29" s="16" t="s">
        <v>900</v>
      </c>
    </row>
    <row r="30" spans="1:4" x14ac:dyDescent="0.4">
      <c r="A30" s="11" t="s">
        <v>901</v>
      </c>
      <c r="B30" s="12"/>
      <c r="C30" s="12"/>
      <c r="D30" s="12"/>
    </row>
    <row r="31" spans="1:4" ht="15" customHeight="1" x14ac:dyDescent="0.4">
      <c r="A31" s="13" t="s">
        <v>902</v>
      </c>
      <c r="B31" s="119">
        <f>'Pit design'!B43</f>
        <v>43.136306355104566</v>
      </c>
      <c r="C31" s="15" t="s">
        <v>177</v>
      </c>
      <c r="D31" s="16" t="s">
        <v>903</v>
      </c>
    </row>
    <row r="32" spans="1:4" ht="15" customHeight="1" x14ac:dyDescent="0.4">
      <c r="A32" s="13" t="s">
        <v>442</v>
      </c>
      <c r="B32" s="117">
        <f>'Pit design'!B32/1000000</f>
        <v>1.0761289614503868</v>
      </c>
      <c r="C32" s="15" t="s">
        <v>904</v>
      </c>
      <c r="D32" s="16" t="s">
        <v>905</v>
      </c>
    </row>
    <row r="33" spans="1:4" ht="15" customHeight="1" x14ac:dyDescent="0.4">
      <c r="A33" s="13" t="s">
        <v>450</v>
      </c>
      <c r="B33" s="117">
        <f>'Pit design'!B37</f>
        <v>2.9310858019828281</v>
      </c>
      <c r="C33" s="15" t="s">
        <v>318</v>
      </c>
      <c r="D33" s="16" t="s">
        <v>906</v>
      </c>
    </row>
    <row r="34" spans="1:4" ht="15" customHeight="1" x14ac:dyDescent="0.4">
      <c r="A34" s="13" t="s">
        <v>907</v>
      </c>
      <c r="B34" s="117">
        <f>'Pit design'!B52</f>
        <v>1.3391791756635096</v>
      </c>
      <c r="C34" s="15" t="s">
        <v>189</v>
      </c>
      <c r="D34" s="16" t="s">
        <v>908</v>
      </c>
    </row>
    <row r="35" spans="1:4" ht="15" customHeight="1" x14ac:dyDescent="0.4">
      <c r="A35" s="13" t="s">
        <v>909</v>
      </c>
      <c r="B35" s="122" t="str">
        <f>'Pit design'!B54</f>
        <v>Meets target</v>
      </c>
      <c r="C35" s="15"/>
      <c r="D35" s="16" t="s">
        <v>910</v>
      </c>
    </row>
    <row r="36" spans="1:4" x14ac:dyDescent="0.4">
      <c r="A36" s="11" t="s">
        <v>911</v>
      </c>
      <c r="B36" s="12"/>
      <c r="C36" s="12"/>
      <c r="D36" s="12"/>
    </row>
    <row r="37" spans="1:4" ht="15" customHeight="1" x14ac:dyDescent="0.4">
      <c r="A37" s="13" t="s">
        <v>764</v>
      </c>
      <c r="B37" s="124">
        <f>'Mine planning'!B8</f>
        <v>0.23474762993387688</v>
      </c>
      <c r="C37" s="15" t="s">
        <v>765</v>
      </c>
      <c r="D37" s="16" t="s">
        <v>912</v>
      </c>
    </row>
    <row r="38" spans="1:4" ht="15" customHeight="1" x14ac:dyDescent="0.4">
      <c r="A38" s="13" t="s">
        <v>774</v>
      </c>
      <c r="B38" s="117">
        <f>'Mine planning'!B13</f>
        <v>2.1299469568269496</v>
      </c>
      <c r="C38" s="15" t="s">
        <v>189</v>
      </c>
      <c r="D38" s="16" t="s">
        <v>913</v>
      </c>
    </row>
    <row r="39" spans="1:4" ht="15" customHeight="1" x14ac:dyDescent="0.4">
      <c r="A39" s="13" t="s">
        <v>790</v>
      </c>
      <c r="B39" s="117">
        <f>'Mine planning'!B30</f>
        <v>3.6227582627621522</v>
      </c>
      <c r="C39" s="15" t="s">
        <v>318</v>
      </c>
      <c r="D39" s="16" t="s">
        <v>914</v>
      </c>
    </row>
    <row r="40" spans="1:4" ht="15" customHeight="1" x14ac:dyDescent="0.4">
      <c r="A40" s="13" t="s">
        <v>915</v>
      </c>
      <c r="B40" s="118">
        <f>'Mine planning'!B32</f>
        <v>15</v>
      </c>
      <c r="C40" s="15" t="s">
        <v>875</v>
      </c>
      <c r="D40" s="16" t="s">
        <v>916</v>
      </c>
    </row>
    <row r="41" spans="1:4" x14ac:dyDescent="0.4">
      <c r="A41" s="11" t="s">
        <v>917</v>
      </c>
      <c r="B41" s="12"/>
      <c r="C41" s="12"/>
      <c r="D41" s="12"/>
    </row>
    <row r="42" spans="1:4" ht="15" customHeight="1" x14ac:dyDescent="0.4">
      <c r="A42" s="13" t="s">
        <v>918</v>
      </c>
      <c r="B42" s="119">
        <f>'Quality and royalty'!B19</f>
        <v>44.8</v>
      </c>
      <c r="C42" s="15" t="s">
        <v>192</v>
      </c>
      <c r="D42" s="16" t="s">
        <v>919</v>
      </c>
    </row>
    <row r="43" spans="1:4" ht="15" customHeight="1" x14ac:dyDescent="0.4">
      <c r="A43" s="13" t="s">
        <v>650</v>
      </c>
      <c r="B43" s="119">
        <f>'Quality and royalty'!B26</f>
        <v>59.279999999999994</v>
      </c>
      <c r="C43" s="15" t="s">
        <v>192</v>
      </c>
      <c r="D43" s="16" t="s">
        <v>920</v>
      </c>
    </row>
    <row r="44" spans="1:4" ht="15" customHeight="1" x14ac:dyDescent="0.4">
      <c r="A44" s="13" t="s">
        <v>663</v>
      </c>
      <c r="B44" s="121">
        <f>'Quality and royalty'!B38</f>
        <v>139.75999999999976</v>
      </c>
      <c r="C44" s="15" t="s">
        <v>921</v>
      </c>
      <c r="D44" s="16" t="s">
        <v>922</v>
      </c>
    </row>
    <row r="45" spans="1:4" ht="15" customHeight="1" x14ac:dyDescent="0.4">
      <c r="A45" s="13" t="s">
        <v>684</v>
      </c>
      <c r="B45" s="121">
        <f>'Quality and royalty'!B53</f>
        <v>900</v>
      </c>
      <c r="C45" s="15" t="s">
        <v>125</v>
      </c>
      <c r="D45" s="16" t="s">
        <v>923</v>
      </c>
    </row>
    <row r="46" spans="1:4" x14ac:dyDescent="0.4">
      <c r="A46" s="11" t="s">
        <v>924</v>
      </c>
      <c r="B46" s="12"/>
      <c r="C46" s="12"/>
      <c r="D46" s="12"/>
    </row>
    <row r="47" spans="1:4" ht="15" customHeight="1" x14ac:dyDescent="0.4">
      <c r="A47" s="13" t="s">
        <v>925</v>
      </c>
      <c r="B47" s="117">
        <f>Safety!B24</f>
        <v>2.8345128184245341</v>
      </c>
      <c r="C47" s="15" t="s">
        <v>261</v>
      </c>
      <c r="D47" s="16" t="s">
        <v>926</v>
      </c>
    </row>
    <row r="48" spans="1:4" ht="15" customHeight="1" x14ac:dyDescent="0.4">
      <c r="A48" s="13" t="s">
        <v>927</v>
      </c>
      <c r="B48" s="119">
        <f>Safety!B25</f>
        <v>10</v>
      </c>
      <c r="C48" s="15" t="s">
        <v>261</v>
      </c>
      <c r="D48" s="16" t="s">
        <v>928</v>
      </c>
    </row>
    <row r="49" spans="1:4" ht="15" customHeight="1" x14ac:dyDescent="0.4">
      <c r="A49" s="13" t="s">
        <v>929</v>
      </c>
      <c r="B49" s="122" t="str">
        <f>Safety!B26</f>
        <v>Within limit</v>
      </c>
      <c r="C49" s="15"/>
      <c r="D49" s="16"/>
    </row>
    <row r="50" spans="1:4" ht="15" customHeight="1" x14ac:dyDescent="0.4">
      <c r="A50" s="13" t="s">
        <v>592</v>
      </c>
      <c r="B50" s="121">
        <f>Safety!B28</f>
        <v>136.43326441637117</v>
      </c>
      <c r="C50" s="15" t="s">
        <v>54</v>
      </c>
      <c r="D50" s="16" t="s">
        <v>930</v>
      </c>
    </row>
    <row r="51" spans="1:4" x14ac:dyDescent="0.4">
      <c r="A51" s="11" t="s">
        <v>931</v>
      </c>
      <c r="B51" s="12"/>
      <c r="C51" s="12"/>
      <c r="D51" s="12"/>
    </row>
    <row r="52" spans="1:4" ht="15" customHeight="1" x14ac:dyDescent="0.4">
      <c r="A52" s="13" t="s">
        <v>816</v>
      </c>
      <c r="B52" s="119">
        <f>Finance!B12</f>
        <v>32</v>
      </c>
      <c r="C52" s="15" t="s">
        <v>140</v>
      </c>
      <c r="D52" s="16" t="s">
        <v>932</v>
      </c>
    </row>
    <row r="53" spans="1:4" ht="15" customHeight="1" x14ac:dyDescent="0.4">
      <c r="A53" s="13" t="s">
        <v>933</v>
      </c>
      <c r="B53" s="119">
        <f>Finance!B40</f>
        <v>-3.5803275667846401</v>
      </c>
      <c r="C53" s="15" t="s">
        <v>140</v>
      </c>
      <c r="D53" s="16" t="s">
        <v>934</v>
      </c>
    </row>
    <row r="54" spans="1:4" ht="15" customHeight="1" x14ac:dyDescent="0.4">
      <c r="A54" s="13" t="s">
        <v>935</v>
      </c>
      <c r="B54" s="123">
        <f>Finance!B44</f>
        <v>4.793796124501104E-2</v>
      </c>
      <c r="C54" s="15" t="s">
        <v>192</v>
      </c>
      <c r="D54" s="16" t="s">
        <v>936</v>
      </c>
    </row>
    <row r="55" spans="1:4" ht="15" customHeight="1" x14ac:dyDescent="0.4">
      <c r="A55" s="13" t="s">
        <v>858</v>
      </c>
      <c r="B55" s="119">
        <f>Finance!B46</f>
        <v>3.5879008672970398</v>
      </c>
      <c r="C55" s="15" t="s">
        <v>196</v>
      </c>
      <c r="D55" s="16" t="s">
        <v>937</v>
      </c>
    </row>
    <row r="56" spans="1:4" ht="15" customHeight="1" x14ac:dyDescent="0.4">
      <c r="A56" s="13" t="s">
        <v>938</v>
      </c>
      <c r="B56" s="122" t="e">
        <f>#REF!</f>
        <v>#REF!</v>
      </c>
      <c r="C56" s="15"/>
      <c r="D56" s="16" t="s">
        <v>939</v>
      </c>
    </row>
    <row r="58" spans="1:4" x14ac:dyDescent="0.4">
      <c r="A58" s="11" t="s">
        <v>940</v>
      </c>
      <c r="B58" s="12"/>
      <c r="C58" s="12"/>
      <c r="D58" s="12"/>
    </row>
    <row r="59" spans="1:4" ht="15" customHeight="1" x14ac:dyDescent="0.4">
      <c r="A59" s="1" t="s">
        <v>941</v>
      </c>
      <c r="B59" s="1"/>
      <c r="C59" s="1"/>
      <c r="D59" s="1"/>
    </row>
    <row r="60" spans="1:4" ht="15" customHeight="1" x14ac:dyDescent="0.4">
      <c r="A60" s="1" t="s">
        <v>942</v>
      </c>
      <c r="B60" s="1"/>
      <c r="C60" s="1"/>
      <c r="D60" s="1"/>
    </row>
    <row r="61" spans="1:4" ht="15" customHeight="1" x14ac:dyDescent="0.4">
      <c r="A61" s="1" t="s">
        <v>943</v>
      </c>
      <c r="B61" s="1"/>
      <c r="C61" s="1"/>
      <c r="D61" s="1"/>
    </row>
    <row r="62" spans="1:4" ht="15" customHeight="1" x14ac:dyDescent="0.4">
      <c r="A62" s="1" t="s">
        <v>944</v>
      </c>
      <c r="B62" s="1"/>
      <c r="C62" s="1"/>
      <c r="D62" s="1"/>
    </row>
    <row r="63" spans="1:4" ht="15" customHeight="1" x14ac:dyDescent="0.4">
      <c r="A63" s="1" t="s">
        <v>945</v>
      </c>
      <c r="B63" s="1"/>
      <c r="C63" s="1"/>
      <c r="D63" s="1"/>
    </row>
    <row r="64" spans="1:4" ht="15" customHeight="1" x14ac:dyDescent="0.4">
      <c r="A64" s="1" t="s">
        <v>946</v>
      </c>
      <c r="B64" s="1"/>
      <c r="C64" s="1"/>
      <c r="D64" s="1"/>
    </row>
    <row r="65" spans="1:4" ht="15" customHeight="1" x14ac:dyDescent="0.4">
      <c r="A65" s="1" t="s">
        <v>947</v>
      </c>
      <c r="B65" s="1"/>
      <c r="C65" s="1"/>
      <c r="D65" s="1"/>
    </row>
    <row r="66" spans="1:4" ht="15" customHeight="1" x14ac:dyDescent="0.4">
      <c r="A66" s="1" t="s">
        <v>948</v>
      </c>
      <c r="B66" s="1"/>
      <c r="C66" s="1"/>
      <c r="D66" s="1"/>
    </row>
    <row r="67" spans="1:4" ht="15" customHeight="1" x14ac:dyDescent="0.4">
      <c r="A67" s="1" t="s">
        <v>949</v>
      </c>
      <c r="B67" s="1"/>
      <c r="C67" s="1"/>
      <c r="D67" s="1"/>
    </row>
    <row r="68" spans="1:4" ht="15" customHeight="1" x14ac:dyDescent="0.4">
      <c r="A68" s="1" t="s">
        <v>950</v>
      </c>
      <c r="B68" s="1"/>
      <c r="C68" s="1"/>
      <c r="D68" s="1"/>
    </row>
    <row r="69" spans="1:4" ht="15" customHeight="1" x14ac:dyDescent="0.4">
      <c r="A69" s="1" t="s">
        <v>951</v>
      </c>
      <c r="B69" s="1"/>
      <c r="C69" s="1"/>
      <c r="D69" s="1"/>
    </row>
    <row r="70" spans="1:4" ht="15" customHeight="1" x14ac:dyDescent="0.4">
      <c r="A70" s="1" t="s">
        <v>952</v>
      </c>
      <c r="B70" s="1"/>
      <c r="C70" s="1"/>
      <c r="D70" s="1"/>
    </row>
  </sheetData>
  <mergeCells count="12">
    <mergeCell ref="A69:D69"/>
    <mergeCell ref="A70:D70"/>
    <mergeCell ref="A64:D64"/>
    <mergeCell ref="A65:D65"/>
    <mergeCell ref="A66:D66"/>
    <mergeCell ref="A67:D67"/>
    <mergeCell ref="A68:D68"/>
    <mergeCell ref="A59:D59"/>
    <mergeCell ref="A60:D60"/>
    <mergeCell ref="A61:D61"/>
    <mergeCell ref="A62:D62"/>
    <mergeCell ref="A63:D63"/>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How to use</vt:lpstr>
      <vt:lpstr>Inputs</vt:lpstr>
      <vt:lpstr>Reserve</vt:lpstr>
      <vt:lpstr>Geostatistics</vt:lpstr>
      <vt:lpstr>Pit design</vt:lpstr>
      <vt:lpstr>Fleet</vt:lpstr>
      <vt:lpstr>Safety</vt:lpstr>
      <vt:lpstr>Quality and royalty</vt:lpstr>
      <vt:lpstr>Economics</vt:lpstr>
      <vt:lpstr>Cash flow</vt:lpstr>
      <vt:lpstr>Mine planning</vt:lpstr>
      <vt:lpstr>Finance</vt:lpstr>
      <vt:lpstr>Summary</vt:lpstr>
      <vt:lpstr>Finance!Print_Area</vt:lpstr>
      <vt:lpstr>Geostatistics!Print_Area</vt:lpstr>
      <vt:lpstr>'Mine planning'!Print_Area</vt:lpstr>
      <vt:lpstr>'Pit design'!Print_Area</vt:lpstr>
      <vt:lpstr>'Quality and royalty'!Print_Area</vt:lpstr>
      <vt:lpstr>Safety!Print_Area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roshan kumar</cp:lastModifiedBy>
  <cp:revision>1</cp:revision>
  <dcterms:created xsi:type="dcterms:W3CDTF">2026-10-15T19:26:34Z</dcterms:created>
  <dcterms:modified xsi:type="dcterms:W3CDTF">2026-10-16T22:04:07Z</dcterms:modified>
  <dc:language>en-US</dc:language>
</cp:coreProperties>
</file>